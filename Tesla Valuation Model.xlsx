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72048366-5BA5-4039-A4E7-4D1C5B579DB0}" xr6:coauthVersionLast="47" xr6:coauthVersionMax="47" xr10:uidLastSave="{00000000-0000-0000-0000-000000000000}"/>
  <bookViews>
    <workbookView xWindow="0" yWindow="0" windowWidth="16384" windowHeight="8192" tabRatio="500" firstSheet="4" activeTab="5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  <sheet name="DCF" sheetId="5" r:id="rId5"/>
    <sheet name="Visual Chart" sheetId="6" r:id="rId6"/>
  </sheets>
  <definedNames>
    <definedName name="_xlnm._FilterDatabase" localSheetId="4" hidden="1">DCF!$B$2:$C$2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6" l="1"/>
  <c r="D6" i="6"/>
  <c r="E6" i="6"/>
  <c r="F6" i="6"/>
  <c r="G6" i="6"/>
  <c r="H6" i="6"/>
  <c r="I6" i="6"/>
  <c r="C6" i="6"/>
  <c r="H5" i="6"/>
  <c r="I5" i="6" s="1"/>
  <c r="J5" i="6" s="1"/>
  <c r="C13" i="5"/>
  <c r="H24" i="2"/>
  <c r="Q4" i="5"/>
  <c r="R4" i="5"/>
  <c r="P4" i="5"/>
  <c r="E46" i="3"/>
  <c r="F46" i="3"/>
  <c r="G46" i="3"/>
  <c r="C46" i="3"/>
  <c r="I30" i="2"/>
  <c r="J30" i="2"/>
  <c r="H30" i="2"/>
  <c r="F25" i="5"/>
  <c r="D57" i="3"/>
  <c r="F57" i="3"/>
  <c r="G57" i="3"/>
  <c r="C57" i="3"/>
  <c r="G9" i="5"/>
  <c r="I9" i="5"/>
  <c r="J9" i="5"/>
  <c r="J10" i="5" s="1"/>
  <c r="F9" i="5"/>
  <c r="G8" i="5"/>
  <c r="H8" i="5"/>
  <c r="I8" i="5"/>
  <c r="J8" i="5"/>
  <c r="F8" i="5"/>
  <c r="G7" i="5"/>
  <c r="H7" i="5"/>
  <c r="I7" i="5"/>
  <c r="J7" i="5"/>
  <c r="K7" i="5"/>
  <c r="L7" i="5"/>
  <c r="M7" i="5"/>
  <c r="F7" i="5"/>
  <c r="G4" i="5"/>
  <c r="H4" i="5"/>
  <c r="I4" i="5"/>
  <c r="J4" i="5"/>
  <c r="F4" i="5"/>
  <c r="C12" i="5"/>
  <c r="C11" i="5"/>
  <c r="C6" i="5"/>
  <c r="C5" i="5"/>
  <c r="C8" i="5" s="1"/>
  <c r="G38" i="4"/>
  <c r="F38" i="4"/>
  <c r="E38" i="4"/>
  <c r="D38" i="4"/>
  <c r="G33" i="4"/>
  <c r="F33" i="4"/>
  <c r="E33" i="4"/>
  <c r="D33" i="4"/>
  <c r="C33" i="4"/>
  <c r="G32" i="4"/>
  <c r="F32" i="4"/>
  <c r="E32" i="4"/>
  <c r="D32" i="4"/>
  <c r="C32" i="4"/>
  <c r="G27" i="4"/>
  <c r="F27" i="4"/>
  <c r="E27" i="4"/>
  <c r="D27" i="4"/>
  <c r="C27" i="4"/>
  <c r="H25" i="4"/>
  <c r="I25" i="4" s="1"/>
  <c r="J25" i="4" s="1"/>
  <c r="J24" i="4"/>
  <c r="J27" i="4" s="1"/>
  <c r="I24" i="4"/>
  <c r="I27" i="4" s="1"/>
  <c r="H24" i="4"/>
  <c r="H27" i="4" s="1"/>
  <c r="G21" i="4"/>
  <c r="F21" i="4"/>
  <c r="E21" i="4"/>
  <c r="D21" i="4"/>
  <c r="C21" i="4"/>
  <c r="G14" i="4"/>
  <c r="F14" i="4"/>
  <c r="E14" i="4"/>
  <c r="D14" i="4"/>
  <c r="C14" i="4"/>
  <c r="C29" i="4" s="1"/>
  <c r="J7" i="4"/>
  <c r="I7" i="4"/>
  <c r="H7" i="4"/>
  <c r="J62" i="3"/>
  <c r="I62" i="3"/>
  <c r="H62" i="3"/>
  <c r="G62" i="3"/>
  <c r="F62" i="3"/>
  <c r="E62" i="3"/>
  <c r="D62" i="3"/>
  <c r="C62" i="3"/>
  <c r="J61" i="3"/>
  <c r="I61" i="3"/>
  <c r="H61" i="3"/>
  <c r="G61" i="3"/>
  <c r="F61" i="3"/>
  <c r="E61" i="3"/>
  <c r="D61" i="3"/>
  <c r="C61" i="3"/>
  <c r="J60" i="3"/>
  <c r="I60" i="3"/>
  <c r="H60" i="3"/>
  <c r="G60" i="3"/>
  <c r="F60" i="3"/>
  <c r="E60" i="3"/>
  <c r="D60" i="3"/>
  <c r="C60" i="3"/>
  <c r="H59" i="3"/>
  <c r="I59" i="3" s="1"/>
  <c r="J59" i="3" s="1"/>
  <c r="G55" i="3"/>
  <c r="G56" i="3" s="1"/>
  <c r="F55" i="3"/>
  <c r="F56" i="3" s="1"/>
  <c r="E55" i="3"/>
  <c r="E56" i="3" s="1"/>
  <c r="D55" i="3"/>
  <c r="D56" i="3" s="1"/>
  <c r="C55" i="3"/>
  <c r="C56" i="3" s="1"/>
  <c r="H50" i="3"/>
  <c r="I50" i="3" s="1"/>
  <c r="J50" i="3" s="1"/>
  <c r="G49" i="3"/>
  <c r="F49" i="3"/>
  <c r="E49" i="3"/>
  <c r="C49" i="3"/>
  <c r="J41" i="3"/>
  <c r="I41" i="3"/>
  <c r="H41" i="3"/>
  <c r="J38" i="3"/>
  <c r="I38" i="3"/>
  <c r="H38" i="3"/>
  <c r="J37" i="3"/>
  <c r="I37" i="3"/>
  <c r="H37" i="3"/>
  <c r="G34" i="3"/>
  <c r="G42" i="3" s="1"/>
  <c r="F34" i="3"/>
  <c r="F42" i="3" s="1"/>
  <c r="E34" i="3"/>
  <c r="E42" i="3" s="1"/>
  <c r="D34" i="3"/>
  <c r="D42" i="3" s="1"/>
  <c r="C34" i="3"/>
  <c r="C42" i="3" s="1"/>
  <c r="H30" i="3"/>
  <c r="I30" i="3" s="1"/>
  <c r="J30" i="3" s="1"/>
  <c r="J29" i="3"/>
  <c r="J55" i="3" s="1"/>
  <c r="J34" i="4" s="1"/>
  <c r="I29" i="3"/>
  <c r="I55" i="3" s="1"/>
  <c r="I34" i="4" s="1"/>
  <c r="H29" i="3"/>
  <c r="H55" i="3" s="1"/>
  <c r="H34" i="4" s="1"/>
  <c r="G10" i="3"/>
  <c r="G14" i="3" s="1"/>
  <c r="F10" i="3"/>
  <c r="F14" i="3" s="1"/>
  <c r="E10" i="3"/>
  <c r="E14" i="3" s="1"/>
  <c r="D10" i="3"/>
  <c r="D14" i="3" s="1"/>
  <c r="C10" i="3"/>
  <c r="C14" i="3" s="1"/>
  <c r="H51" i="2"/>
  <c r="G43" i="2"/>
  <c r="F43" i="2"/>
  <c r="E43" i="2"/>
  <c r="D43" i="2"/>
  <c r="G41" i="2"/>
  <c r="G47" i="2" s="1"/>
  <c r="F41" i="2"/>
  <c r="F47" i="2" s="1"/>
  <c r="E41" i="2"/>
  <c r="E47" i="2" s="1"/>
  <c r="D41" i="2"/>
  <c r="D47" i="2" s="1"/>
  <c r="C41" i="2"/>
  <c r="C47" i="2" s="1"/>
  <c r="J37" i="2"/>
  <c r="I37" i="2"/>
  <c r="H37" i="2"/>
  <c r="J36" i="2"/>
  <c r="I36" i="2"/>
  <c r="H36" i="2"/>
  <c r="H33" i="2"/>
  <c r="I33" i="2" s="1"/>
  <c r="J33" i="2" s="1"/>
  <c r="J23" i="2"/>
  <c r="I23" i="2"/>
  <c r="H23" i="2"/>
  <c r="G17" i="2"/>
  <c r="F17" i="2"/>
  <c r="E17" i="2"/>
  <c r="D17" i="2"/>
  <c r="C17" i="2"/>
  <c r="J11" i="2"/>
  <c r="J44" i="2" s="1"/>
  <c r="I11" i="2"/>
  <c r="I44" i="2" s="1"/>
  <c r="H11" i="2"/>
  <c r="H44" i="2" s="1"/>
  <c r="G10" i="2"/>
  <c r="F10" i="2"/>
  <c r="E10" i="2"/>
  <c r="D10" i="2"/>
  <c r="C10" i="2"/>
  <c r="H5" i="2"/>
  <c r="G10" i="5" l="1"/>
  <c r="E57" i="3"/>
  <c r="H9" i="5"/>
  <c r="F5" i="5"/>
  <c r="F6" i="5" s="1"/>
  <c r="J5" i="5"/>
  <c r="J6" i="5" s="1"/>
  <c r="J11" i="5" s="1"/>
  <c r="I5" i="5"/>
  <c r="I6" i="5" s="1"/>
  <c r="H5" i="5"/>
  <c r="H6" i="5" s="1"/>
  <c r="G5" i="5"/>
  <c r="G6" i="5" s="1"/>
  <c r="G11" i="5" s="1"/>
  <c r="H39" i="3"/>
  <c r="H33" i="3"/>
  <c r="H32" i="3"/>
  <c r="H12" i="4" s="1"/>
  <c r="H31" i="3"/>
  <c r="H28" i="3"/>
  <c r="H38" i="4" s="1"/>
  <c r="H22" i="3"/>
  <c r="H20" i="3"/>
  <c r="H12" i="3"/>
  <c r="H13" i="4" s="1"/>
  <c r="H8" i="3"/>
  <c r="H57" i="2"/>
  <c r="H16" i="4" s="1"/>
  <c r="H43" i="2"/>
  <c r="H15" i="2"/>
  <c r="H14" i="2"/>
  <c r="H17" i="2" s="1"/>
  <c r="H8" i="2"/>
  <c r="I5" i="2"/>
  <c r="C19" i="2"/>
  <c r="C11" i="2"/>
  <c r="C44" i="2" s="1"/>
  <c r="D19" i="2"/>
  <c r="D11" i="2"/>
  <c r="D44" i="2" s="1"/>
  <c r="E19" i="2"/>
  <c r="E11" i="2"/>
  <c r="E44" i="2" s="1"/>
  <c r="F19" i="2"/>
  <c r="F11" i="2"/>
  <c r="F44" i="2" s="1"/>
  <c r="G19" i="2"/>
  <c r="G11" i="2"/>
  <c r="G44" i="2" s="1"/>
  <c r="H5" i="4"/>
  <c r="I51" i="2"/>
  <c r="C23" i="3"/>
  <c r="D23" i="3"/>
  <c r="D46" i="3" s="1"/>
  <c r="D49" i="3" s="1"/>
  <c r="E23" i="3"/>
  <c r="F23" i="3"/>
  <c r="G23" i="3"/>
  <c r="C58" i="3"/>
  <c r="C51" i="3"/>
  <c r="C52" i="3" s="1"/>
  <c r="D58" i="3"/>
  <c r="D51" i="3"/>
  <c r="D52" i="3" s="1"/>
  <c r="E58" i="3"/>
  <c r="E51" i="3"/>
  <c r="E52" i="3" s="1"/>
  <c r="F58" i="3"/>
  <c r="F51" i="3"/>
  <c r="F52" i="3" s="1"/>
  <c r="G58" i="3"/>
  <c r="G51" i="3"/>
  <c r="G52" i="3" s="1"/>
  <c r="D29" i="4"/>
  <c r="D15" i="4"/>
  <c r="E29" i="4"/>
  <c r="E15" i="4"/>
  <c r="F29" i="4"/>
  <c r="F15" i="4"/>
  <c r="G29" i="4"/>
  <c r="G15" i="4"/>
  <c r="H17" i="3" l="1"/>
  <c r="K8" i="5"/>
  <c r="G13" i="5"/>
  <c r="H13" i="5"/>
  <c r="F13" i="5"/>
  <c r="H10" i="5"/>
  <c r="H11" i="5" s="1"/>
  <c r="I10" i="5"/>
  <c r="I11" i="5" s="1"/>
  <c r="I5" i="4"/>
  <c r="J51" i="2"/>
  <c r="J5" i="4" s="1"/>
  <c r="G49" i="2"/>
  <c r="G50" i="2" s="1"/>
  <c r="G28" i="2"/>
  <c r="G20" i="2"/>
  <c r="G45" i="2" s="1"/>
  <c r="F49" i="2"/>
  <c r="F50" i="2" s="1"/>
  <c r="F28" i="2"/>
  <c r="F20" i="2"/>
  <c r="F45" i="2" s="1"/>
  <c r="E49" i="2"/>
  <c r="E50" i="2" s="1"/>
  <c r="E28" i="2"/>
  <c r="E20" i="2"/>
  <c r="E45" i="2" s="1"/>
  <c r="D49" i="2"/>
  <c r="D50" i="2" s="1"/>
  <c r="D28" i="2"/>
  <c r="D20" i="2"/>
  <c r="D45" i="2" s="1"/>
  <c r="C49" i="2"/>
  <c r="C50" i="2" s="1"/>
  <c r="C28" i="2"/>
  <c r="C20" i="2"/>
  <c r="C45" i="2" s="1"/>
  <c r="I39" i="3"/>
  <c r="I33" i="3"/>
  <c r="I32" i="3"/>
  <c r="I12" i="4" s="1"/>
  <c r="I31" i="3"/>
  <c r="I28" i="3"/>
  <c r="I38" i="4" s="1"/>
  <c r="I22" i="3"/>
  <c r="I20" i="3"/>
  <c r="I12" i="3"/>
  <c r="I13" i="4" s="1"/>
  <c r="I8" i="3"/>
  <c r="I57" i="2"/>
  <c r="I16" i="4" s="1"/>
  <c r="I43" i="2"/>
  <c r="I15" i="2"/>
  <c r="I14" i="2"/>
  <c r="I17" i="2" s="1"/>
  <c r="I8" i="2"/>
  <c r="J5" i="2"/>
  <c r="H27" i="3"/>
  <c r="H11" i="3"/>
  <c r="H10" i="4" s="1"/>
  <c r="H10" i="2"/>
  <c r="H19" i="2" s="1"/>
  <c r="K4" i="5" s="1"/>
  <c r="K5" i="5" s="1"/>
  <c r="K6" i="5" s="1"/>
  <c r="H21" i="4"/>
  <c r="H9" i="4"/>
  <c r="H10" i="3"/>
  <c r="I21" i="4" l="1"/>
  <c r="L8" i="5"/>
  <c r="I17" i="3"/>
  <c r="H35" i="4"/>
  <c r="H49" i="2"/>
  <c r="H50" i="2" s="1"/>
  <c r="H20" i="2"/>
  <c r="H45" i="2" s="1"/>
  <c r="H11" i="4"/>
  <c r="H37" i="4" s="1"/>
  <c r="H36" i="4" s="1"/>
  <c r="H34" i="3"/>
  <c r="H42" i="3" s="1"/>
  <c r="J39" i="3"/>
  <c r="J33" i="3"/>
  <c r="J32" i="3"/>
  <c r="J12" i="4" s="1"/>
  <c r="J31" i="3"/>
  <c r="J28" i="3"/>
  <c r="J38" i="4" s="1"/>
  <c r="J22" i="3"/>
  <c r="J20" i="3"/>
  <c r="J12" i="3"/>
  <c r="J13" i="4" s="1"/>
  <c r="J8" i="3"/>
  <c r="J57" i="2"/>
  <c r="J16" i="4" s="1"/>
  <c r="J43" i="2"/>
  <c r="J15" i="2"/>
  <c r="J14" i="2"/>
  <c r="J17" i="2" s="1"/>
  <c r="J8" i="2"/>
  <c r="I27" i="3"/>
  <c r="I11" i="3"/>
  <c r="I10" i="4" s="1"/>
  <c r="I10" i="2"/>
  <c r="I19" i="2" s="1"/>
  <c r="L4" i="5" s="1"/>
  <c r="L5" i="5" s="1"/>
  <c r="L6" i="5" s="1"/>
  <c r="I9" i="4"/>
  <c r="I10" i="3"/>
  <c r="C52" i="2"/>
  <c r="C32" i="2"/>
  <c r="D52" i="2"/>
  <c r="D32" i="2"/>
  <c r="E52" i="2"/>
  <c r="E32" i="2"/>
  <c r="F52" i="2"/>
  <c r="F32" i="2"/>
  <c r="G52" i="2"/>
  <c r="G32" i="2"/>
  <c r="J21" i="4" l="1"/>
  <c r="M8" i="5"/>
  <c r="J17" i="3"/>
  <c r="G46" i="2"/>
  <c r="G34" i="2"/>
  <c r="F46" i="2"/>
  <c r="F34" i="2"/>
  <c r="E46" i="2"/>
  <c r="E34" i="2"/>
  <c r="D46" i="2"/>
  <c r="D34" i="2"/>
  <c r="C46" i="2"/>
  <c r="C34" i="2"/>
  <c r="I35" i="4"/>
  <c r="I49" i="2"/>
  <c r="I50" i="2" s="1"/>
  <c r="I20" i="2"/>
  <c r="I45" i="2" s="1"/>
  <c r="I11" i="4"/>
  <c r="I37" i="4" s="1"/>
  <c r="I36" i="4" s="1"/>
  <c r="I34" i="3"/>
  <c r="I42" i="3" s="1"/>
  <c r="J27" i="3"/>
  <c r="J11" i="3"/>
  <c r="J10" i="4" s="1"/>
  <c r="J10" i="2"/>
  <c r="J19" i="2" s="1"/>
  <c r="M4" i="5" s="1"/>
  <c r="M5" i="5" s="1"/>
  <c r="M6" i="5" s="1"/>
  <c r="J9" i="4"/>
  <c r="J10" i="3"/>
  <c r="J35" i="4" l="1"/>
  <c r="J49" i="2"/>
  <c r="J50" i="2" s="1"/>
  <c r="J20" i="2"/>
  <c r="J45" i="2" s="1"/>
  <c r="J11" i="4"/>
  <c r="J37" i="4" s="1"/>
  <c r="J36" i="4" s="1"/>
  <c r="J34" i="3"/>
  <c r="J42" i="3" s="1"/>
  <c r="C40" i="2"/>
  <c r="C39" i="2"/>
  <c r="D40" i="2"/>
  <c r="D39" i="2"/>
  <c r="E40" i="2"/>
  <c r="E39" i="2"/>
  <c r="F40" i="2"/>
  <c r="F39" i="2"/>
  <c r="G40" i="2"/>
  <c r="G39" i="2"/>
  <c r="H28" i="2"/>
  <c r="H29" i="2" s="1"/>
  <c r="H52" i="2" s="1"/>
  <c r="H32" i="2"/>
  <c r="H4" i="4"/>
  <c r="H47" i="3" s="1"/>
  <c r="H14" i="4"/>
  <c r="H29" i="4"/>
  <c r="H7" i="3"/>
  <c r="H56" i="3"/>
  <c r="H14" i="3" l="1"/>
  <c r="I24" i="2"/>
  <c r="I28" i="2" s="1"/>
  <c r="H30" i="4"/>
  <c r="H56" i="2"/>
  <c r="H41" i="2" s="1"/>
  <c r="H47" i="2" s="1"/>
  <c r="H15" i="4"/>
  <c r="H34" i="2"/>
  <c r="H46" i="2"/>
  <c r="H39" i="2" l="1"/>
  <c r="H40" i="2"/>
  <c r="H31" i="4"/>
  <c r="H32" i="4"/>
  <c r="H33" i="4"/>
  <c r="I29" i="2"/>
  <c r="K9" i="5"/>
  <c r="K10" i="5" s="1"/>
  <c r="K11" i="5" s="1"/>
  <c r="H23" i="3"/>
  <c r="H46" i="3" s="1"/>
  <c r="H49" i="3" s="1"/>
  <c r="H57" i="3"/>
  <c r="H51" i="3" l="1"/>
  <c r="H52" i="3" s="1"/>
  <c r="H58" i="3"/>
  <c r="F16" i="5"/>
  <c r="I52" i="2"/>
  <c r="I32" i="2"/>
  <c r="I4" i="4" l="1"/>
  <c r="I34" i="2"/>
  <c r="I46" i="2"/>
  <c r="I39" i="2" l="1"/>
  <c r="I40" i="2"/>
  <c r="I14" i="4"/>
  <c r="I47" i="3"/>
  <c r="I30" i="4" l="1"/>
  <c r="I56" i="2"/>
  <c r="I41" i="2" s="1"/>
  <c r="I47" i="2" s="1"/>
  <c r="I15" i="4"/>
  <c r="I29" i="4"/>
  <c r="I7" i="3" s="1"/>
  <c r="J24" i="2" l="1"/>
  <c r="J28" i="2" s="1"/>
  <c r="I14" i="3"/>
  <c r="I56" i="3"/>
  <c r="I31" i="4"/>
  <c r="I32" i="4"/>
  <c r="I33" i="4"/>
  <c r="I23" i="3" l="1"/>
  <c r="I46" i="3" s="1"/>
  <c r="I49" i="3" s="1"/>
  <c r="I57" i="3"/>
  <c r="L9" i="5"/>
  <c r="L10" i="5" s="1"/>
  <c r="L11" i="5" s="1"/>
  <c r="J29" i="2"/>
  <c r="J52" i="2" l="1"/>
  <c r="J32" i="2"/>
  <c r="G16" i="5"/>
  <c r="I51" i="3"/>
  <c r="I52" i="3" s="1"/>
  <c r="I58" i="3"/>
  <c r="J4" i="4" l="1"/>
  <c r="J34" i="2"/>
  <c r="J46" i="2"/>
  <c r="J39" i="2" l="1"/>
  <c r="J40" i="2"/>
  <c r="J14" i="4"/>
  <c r="J47" i="3"/>
  <c r="J30" i="4" l="1"/>
  <c r="J56" i="2"/>
  <c r="J41" i="2" s="1"/>
  <c r="J47" i="2" s="1"/>
  <c r="J15" i="4"/>
  <c r="J29" i="4"/>
  <c r="J7" i="3" s="1"/>
  <c r="J14" i="3" l="1"/>
  <c r="J56" i="3"/>
  <c r="J31" i="4"/>
  <c r="J32" i="4"/>
  <c r="J33" i="4"/>
  <c r="M9" i="5" l="1"/>
  <c r="M10" i="5" s="1"/>
  <c r="M11" i="5" s="1"/>
  <c r="J57" i="3"/>
  <c r="J23" i="3"/>
  <c r="J46" i="3" s="1"/>
  <c r="J49" i="3" s="1"/>
  <c r="J51" i="3" l="1"/>
  <c r="J52" i="3" s="1"/>
  <c r="J58" i="3"/>
  <c r="H16" i="5"/>
  <c r="I16" i="5" s="1"/>
  <c r="F18" i="5"/>
  <c r="F20" i="5" s="1"/>
  <c r="F22" i="5" s="1"/>
  <c r="F24" i="5" s="1"/>
  <c r="F26" i="5" s="1"/>
  <c r="L17" i="5"/>
  <c r="R17" i="5"/>
  <c r="Q17" i="5"/>
  <c r="P17" i="5"/>
  <c r="O17" i="5"/>
  <c r="N17" i="5"/>
  <c r="M17" i="5"/>
  <c r="R21" i="5"/>
  <c r="Q21" i="5"/>
  <c r="P21" i="5"/>
  <c r="O21" i="5"/>
  <c r="N21" i="5"/>
  <c r="M21" i="5"/>
  <c r="L21" i="5"/>
  <c r="R20" i="5"/>
  <c r="Q20" i="5"/>
  <c r="P20" i="5"/>
  <c r="O20" i="5"/>
  <c r="N20" i="5"/>
  <c r="M20" i="5"/>
  <c r="L20" i="5"/>
  <c r="R19" i="5"/>
  <c r="Q19" i="5"/>
  <c r="P19" i="5"/>
  <c r="O19" i="5"/>
  <c r="N19" i="5"/>
  <c r="M19" i="5"/>
  <c r="L19" i="5"/>
  <c r="R18" i="5"/>
  <c r="Q18" i="5"/>
  <c r="P18" i="5"/>
  <c r="O18" i="5"/>
  <c r="N18" i="5"/>
  <c r="M18" i="5"/>
  <c r="L18" i="5"/>
</calcChain>
</file>

<file path=xl/sharedStrings.xml><?xml version="1.0" encoding="utf-8"?>
<sst xmlns="http://schemas.openxmlformats.org/spreadsheetml/2006/main" count="330" uniqueCount="264">
  <si>
    <t>ASSUMPTIONS TAB</t>
  </si>
  <si>
    <t>REVENUE ASSUMPTIONS</t>
  </si>
  <si>
    <t>2026E</t>
  </si>
  <si>
    <t>2027E</t>
  </si>
  <si>
    <t>2028E</t>
  </si>
  <si>
    <t>Source/Justification</t>
  </si>
  <si>
    <t>Automotive Sales Growth %</t>
  </si>
  <si>
    <t>Deliveries fell 9% in 2025, recovery via Cybercab 2027</t>
  </si>
  <si>
    <t>Regulatory Credits ($M)</t>
  </si>
  <si>
    <t>Declining as competitors electrify</t>
  </si>
  <si>
    <t>Automotive Leasing Growth %</t>
  </si>
  <si>
    <t>Growing FSD subscription model</t>
  </si>
  <si>
    <t>Energy Generation &amp; Storage Growth %</t>
  </si>
  <si>
    <t>Record deployments, Megapack 3 launching 2026</t>
  </si>
  <si>
    <t>Services &amp; Other Growth %</t>
  </si>
  <si>
    <t>FSD subscriptions + Robotaxi expansion</t>
  </si>
  <si>
    <t xml:space="preserve">Total revenue growth used </t>
  </si>
  <si>
    <t>MARGIN ASSUMPTIONS</t>
  </si>
  <si>
    <t>Gross Margin %</t>
  </si>
  <si>
    <t>Gradual recovery via cost efficiency</t>
  </si>
  <si>
    <t>R&amp;D as % of Revenue</t>
  </si>
  <si>
    <t>AI investment stabilising after 2025 peak</t>
  </si>
  <si>
    <t>SG&amp;A as % of Revenue</t>
  </si>
  <si>
    <t>Operational leverage as revenue grows</t>
  </si>
  <si>
    <t>Effective Tax Rate %</t>
  </si>
  <si>
    <t>Normalised rate removing 2023 one-off</t>
  </si>
  <si>
    <t>BELOW THE LINE ASSUMPTIONS</t>
  </si>
  <si>
    <t>Interest Income % of Cash Balance</t>
  </si>
  <si>
    <t>Based on current US interest rates</t>
  </si>
  <si>
    <t>Interest Expense ($M)</t>
  </si>
  <si>
    <t>Gradual debt reduction</t>
  </si>
  <si>
    <t>Other Non-Operating Income ($M)</t>
  </si>
  <si>
    <t>Conservative - no one-off items assumed</t>
  </si>
  <si>
    <t>KEY METRICS ASSUMPTIONS</t>
  </si>
  <si>
    <t>D&amp;A Growth %</t>
  </si>
  <si>
    <t>Based on PP&amp;E expansion trend</t>
  </si>
  <si>
    <t>Capex as % of Revenue</t>
  </si>
  <si>
    <t>Post-peak investment cycle</t>
  </si>
  <si>
    <t>Shares Outstanding Basic (M)</t>
  </si>
  <si>
    <t>0.5% annual dilution from SBC</t>
  </si>
  <si>
    <t>Shares Outstanding Diluted (M)</t>
  </si>
  <si>
    <t>CURRENT ASSETS ASSUMPTIONS</t>
  </si>
  <si>
    <t>Justification</t>
  </si>
  <si>
    <t>Accounts Receivable % of Revenue</t>
  </si>
  <si>
    <t>Based on 2025 actual revenue</t>
  </si>
  <si>
    <t>Inventory % of Revenue</t>
  </si>
  <si>
    <t>Slight efficiency improvement</t>
  </si>
  <si>
    <t>Prepaid Expenses % of Revenue</t>
  </si>
  <si>
    <t>Gradual normalisation</t>
  </si>
  <si>
    <t>Other Receivables % of Revenue</t>
  </si>
  <si>
    <t>Keep flat based on 2025</t>
  </si>
  <si>
    <t>Restricted Cash ($M)</t>
  </si>
  <si>
    <t>Keep flat - regulatory requirement</t>
  </si>
  <si>
    <t>NON-CURRENT ASSETS ASSUMPTIONS</t>
  </si>
  <si>
    <t>Long-Term Deferred Tax Assets ($M)</t>
  </si>
  <si>
    <t>Keep flat - no new one-off items</t>
  </si>
  <si>
    <t>Other Long-Term Assets % of Revenue</t>
  </si>
  <si>
    <t>Long-Term Accounts Receivable % of Revenue</t>
  </si>
  <si>
    <t>Gradual decline</t>
  </si>
  <si>
    <t>CURRENT LIABILITIES ASSUMPTIONS</t>
  </si>
  <si>
    <t>Accounts Payable % of Revenue</t>
  </si>
  <si>
    <t>Stable supplier payment terms</t>
  </si>
  <si>
    <t>Accrued Expenses % of Revenue</t>
  </si>
  <si>
    <t>Based on 2025 actual</t>
  </si>
  <si>
    <t>Current Unearned Revenue % of Revenue</t>
  </si>
  <si>
    <t>Growing FSD subscriptions</t>
  </si>
  <si>
    <t>Current Income Taxes Payable % of Revenue</t>
  </si>
  <si>
    <t>Other Current Liabilities % of Revenue</t>
  </si>
  <si>
    <t>Current Portion of Leases ($M)</t>
  </si>
  <si>
    <t>Keep flat</t>
  </si>
  <si>
    <t>NON-CURRENT LIABILITIES ASSUMPTIONS</t>
  </si>
  <si>
    <t>Long-Term Debt ($M)</t>
  </si>
  <si>
    <t>Gradual repayment</t>
  </si>
  <si>
    <t>Current Portion of LT Debt ($M)</t>
  </si>
  <si>
    <t>Long-Term Leases ($M)</t>
  </si>
  <si>
    <t>3% annual growth</t>
  </si>
  <si>
    <t>Long-Term Unearned Revenue % of Revenue</t>
  </si>
  <si>
    <t>Other Long-Term Liabilities ($M)</t>
  </si>
  <si>
    <t>5% annual growth</t>
  </si>
  <si>
    <t>Long-Term Deferred Tax Liabilities ($M)</t>
  </si>
  <si>
    <t>Remains zero</t>
  </si>
  <si>
    <t>EQUITY ASSUMPTIONS</t>
  </si>
  <si>
    <t>Stock Based Compensation ($M)</t>
  </si>
  <si>
    <t>Based on historical SBC trend</t>
  </si>
  <si>
    <t>Comprehensive Income &amp; Other ($M)</t>
  </si>
  <si>
    <t>Keep flat - conservative</t>
  </si>
  <si>
    <t>Minority Interest Growth %</t>
  </si>
  <si>
    <t>Gradual buyout of minority interests</t>
  </si>
  <si>
    <t>DSO</t>
  </si>
  <si>
    <t>DPO</t>
  </si>
  <si>
    <t>Gradual Improvement</t>
  </si>
  <si>
    <t>DIO</t>
  </si>
  <si>
    <t>Manufactring efficiency</t>
  </si>
  <si>
    <t>Tesla, Inc</t>
  </si>
  <si>
    <t>2026 E</t>
  </si>
  <si>
    <t>2028 E</t>
  </si>
  <si>
    <t>REVENUES</t>
  </si>
  <si>
    <t>Revenue</t>
  </si>
  <si>
    <t>COST OF REVENUES</t>
  </si>
  <si>
    <t>Cost of Revenue</t>
  </si>
  <si>
    <t>Gross Profit</t>
  </si>
  <si>
    <t>OPERATING EXPENSES</t>
  </si>
  <si>
    <t>Selling General &amp; Admin</t>
  </si>
  <si>
    <t>Research &amp; Development</t>
  </si>
  <si>
    <t>Other Operating Expenses</t>
  </si>
  <si>
    <t>Total Operating Expenses</t>
  </si>
  <si>
    <t>OPERATING INCOME (EBIT)</t>
  </si>
  <si>
    <t>Operating Margin %</t>
  </si>
  <si>
    <t>BELOW THE LINE</t>
  </si>
  <si>
    <t>Interest Expense</t>
  </si>
  <si>
    <t>Interest &amp; Investment Income</t>
  </si>
  <si>
    <t>Currency Exchange Gain/(Loss)</t>
  </si>
  <si>
    <t>Other Non-Operating Income</t>
  </si>
  <si>
    <t>Merger Charges</t>
  </si>
  <si>
    <t>Pretax Income</t>
  </si>
  <si>
    <t>Income Tax Expense</t>
  </si>
  <si>
    <t>Minority Interest</t>
  </si>
  <si>
    <t>NET INCOME</t>
  </si>
  <si>
    <t>Preferred Dividends</t>
  </si>
  <si>
    <t>NET INCOME TO COMMON</t>
  </si>
  <si>
    <t>EPS Basic</t>
  </si>
  <si>
    <t>EPS Diluted</t>
  </si>
  <si>
    <t>FCF</t>
  </si>
  <si>
    <t>GROWTH &amp; MARGINS</t>
  </si>
  <si>
    <t>Revenue Growth %</t>
  </si>
  <si>
    <t>Net Margin %</t>
  </si>
  <si>
    <t>Free Cash Flow Margin %</t>
  </si>
  <si>
    <t>KEY METRICS</t>
  </si>
  <si>
    <t>EBITDA</t>
  </si>
  <si>
    <t>EBITDA Margin %</t>
  </si>
  <si>
    <t>DEPRECIATION</t>
  </si>
  <si>
    <t>Effective Tax Rate</t>
  </si>
  <si>
    <t>OPERATING CF</t>
  </si>
  <si>
    <t>CAPEX</t>
  </si>
  <si>
    <t>2021A</t>
  </si>
  <si>
    <t>2022A</t>
  </si>
  <si>
    <t>2023A</t>
  </si>
  <si>
    <t>2024A</t>
  </si>
  <si>
    <t>2025A</t>
  </si>
  <si>
    <t>ASSETS</t>
  </si>
  <si>
    <t>CURRENT ASSETS</t>
  </si>
  <si>
    <t>Cash &amp; Marketable Securities</t>
  </si>
  <si>
    <t>Accounts Receivable</t>
  </si>
  <si>
    <t>Other Receivables</t>
  </si>
  <si>
    <t>Total Receivables</t>
  </si>
  <si>
    <t>Inventory</t>
  </si>
  <si>
    <t>Prepaid Expenses</t>
  </si>
  <si>
    <t>Restricted Cash</t>
  </si>
  <si>
    <t>Total Current Assets</t>
  </si>
  <si>
    <t>NON-CURRENT ASSETS</t>
  </si>
  <si>
    <t>Property Plant &amp; Equipment</t>
  </si>
  <si>
    <t>Goodwill</t>
  </si>
  <si>
    <t>Other Intangible Assets</t>
  </si>
  <si>
    <t>Long-Term Accounts Receivable</t>
  </si>
  <si>
    <t>Long-Term Deferred Tax Assets</t>
  </si>
  <si>
    <t>Other Long-Term Assets</t>
  </si>
  <si>
    <t>Total Assets</t>
  </si>
  <si>
    <t>LIABILITIES</t>
  </si>
  <si>
    <t>CURRENT LIABILITIES</t>
  </si>
  <si>
    <t>Accounts Payable</t>
  </si>
  <si>
    <t>Accrued Expenses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</si>
  <si>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</si>
  <si>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</si>
  <si>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</si>
  <si>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</si>
  <si>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</si>
  <si>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</si>
  <si>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NON-CURRENT LIABILITIES</t>
  </si>
  <si>
    <t>Long-Term Debt</t>
  </si>
  <si>
    <t>Long-Term Leases</t>
  </si>
  <si>
    <t>Long-Term Unearned Revenue</t>
  </si>
  <si>
    <t>Long-Term Deferred Tax Liabilities</t>
  </si>
  <si>
    <t>Other Long-Term Liabilities</t>
  </si>
  <si>
    <t>Total Liabilities</t>
  </si>
  <si>
    <t>EQUITY</t>
  </si>
  <si>
    <t>Common Stock</t>
  </si>
  <si>
    <t>Additional Paid-In Capital</t>
  </si>
  <si>
    <t>Retained Earnings</t>
  </si>
  <si>
    <t>Comprehensive Income &amp; Other</t>
  </si>
  <si>
    <t>Total Common Equity</t>
  </si>
  <si>
    <t>Total Shareholders Equity</t>
  </si>
  <si>
    <t>Total Liabilities &amp; Equity</t>
  </si>
  <si>
    <t>Total Debt</t>
  </si>
  <si>
    <t>Net Cash (Debt)</t>
  </si>
  <si>
    <t>Working Capital</t>
  </si>
  <si>
    <t>Book Value Per Share</t>
  </si>
  <si>
    <t>Total Common Shares Outstanding</t>
  </si>
  <si>
    <t>Metric</t>
  </si>
  <si>
    <t>FY 2021</t>
  </si>
  <si>
    <t>FY 2022</t>
  </si>
  <si>
    <t>FY 2023</t>
  </si>
  <si>
    <t>FY 2024</t>
  </si>
  <si>
    <t>FY 2025</t>
  </si>
  <si>
    <t>2027 E</t>
  </si>
  <si>
    <t>Net Income</t>
  </si>
  <si>
    <t>Depreciation &amp; Amortization</t>
  </si>
  <si>
    <t>Asset Writedown &amp; Restructuring Costs</t>
  </si>
  <si>
    <t>Stock-Based Compensation</t>
  </si>
  <si>
    <t>Other Operating Activities</t>
  </si>
  <si>
    <t>Change in Accounts Receivable</t>
  </si>
  <si>
    <t>Change in Inventory</t>
  </si>
  <si>
    <t>Change in Accounts Payable</t>
  </si>
  <si>
    <t>Change in Unearned Revenue</t>
  </si>
  <si>
    <t>Change in Other Net Operating Assets</t>
  </si>
  <si>
    <t>Operating Cash Flow</t>
  </si>
  <si>
    <t>Operating Cash Flow Growth (%)</t>
  </si>
  <si>
    <t>Capital Expenditures</t>
  </si>
  <si>
    <t>Cash Acquisitions</t>
  </si>
  <si>
    <t>Sale (Purchase) of Intangibles</t>
  </si>
  <si>
    <t>Investment in Securities</t>
  </si>
  <si>
    <t>Other Investing Activities</t>
  </si>
  <si>
    <t>Investing Cash Flow</t>
  </si>
  <si>
    <t>Long-Term Debt Issued</t>
  </si>
  <si>
    <t>Long-Term Debt Repaid</t>
  </si>
  <si>
    <t>Net Debt Issued (Repaid)</t>
  </si>
  <si>
    <t>Issuance of Common Stock</t>
  </si>
  <si>
    <t>Other Financing Activities</t>
  </si>
  <si>
    <t>Financing Cash Flow</t>
  </si>
  <si>
    <t>Foreign Exchange Rate Adjustments</t>
  </si>
  <si>
    <t>Net Cash Flow</t>
  </si>
  <si>
    <t>Free Cash Flow</t>
  </si>
  <si>
    <t>Free Cash Flow Growth (%)</t>
  </si>
  <si>
    <t>Free Cash Flow Margin (%)</t>
  </si>
  <si>
    <t>Free Cash Flow Per Share</t>
  </si>
  <si>
    <t>Cash Interest Paid</t>
  </si>
  <si>
    <t>Cash Income Tax Paid</t>
  </si>
  <si>
    <t>Unlevered Free Cash Flow</t>
  </si>
  <si>
    <t>Change in Working Capital</t>
  </si>
  <si>
    <t>Change in Accrued Expenses</t>
  </si>
  <si>
    <t>RF</t>
  </si>
  <si>
    <t>E</t>
  </si>
  <si>
    <t>Bear</t>
  </si>
  <si>
    <t>Base</t>
  </si>
  <si>
    <t>Bull</t>
  </si>
  <si>
    <t>BETA</t>
  </si>
  <si>
    <t>Assumption</t>
  </si>
  <si>
    <t>Risk Premium</t>
  </si>
  <si>
    <t>EBIT</t>
  </si>
  <si>
    <t>Revenue Growth</t>
  </si>
  <si>
    <t>kd</t>
  </si>
  <si>
    <t>Tax</t>
  </si>
  <si>
    <t>ke</t>
  </si>
  <si>
    <t>EBIT (1-T)</t>
  </si>
  <si>
    <t>WACC</t>
  </si>
  <si>
    <t>Depreciation</t>
  </si>
  <si>
    <t>TERMINAL GROWTH</t>
  </si>
  <si>
    <t>kd(1-t)</t>
  </si>
  <si>
    <t>Capex</t>
  </si>
  <si>
    <t>Total Market Cap</t>
  </si>
  <si>
    <t>Total debt</t>
  </si>
  <si>
    <t>WE</t>
  </si>
  <si>
    <t>FCFF</t>
  </si>
  <si>
    <t>WD</t>
  </si>
  <si>
    <t>Wacc</t>
  </si>
  <si>
    <t>Discount Factor</t>
  </si>
  <si>
    <t>G</t>
  </si>
  <si>
    <t>Present Value of the Firm</t>
  </si>
  <si>
    <t>Terminal Value</t>
  </si>
  <si>
    <t>g</t>
  </si>
  <si>
    <t>Present Value of Terminal Value</t>
  </si>
  <si>
    <t>Enterprise Value</t>
  </si>
  <si>
    <t>Equity Value</t>
  </si>
  <si>
    <t>Shares Outstanding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</si>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</sst>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$-409]* #,##0.00_ ;_-[$$-409]* \-#,##0.00\ ;_-[$$-409]* &quot;-&quot;??_ ;_-@_ "/>
    <numFmt numFmtId="166" formatCode="[$$-409]#,##0.00"/>
  </numFmts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0" borderId="1" xfId="0" applyFont="1" applyBorder="1"/>
    <xf numFmtId="2" fontId="0" fillId="0" borderId="0" xfId="0" applyNumberFormat="1"/>
    <xf numFmtId="3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Tesla Revenue and EBITDA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Chart'!$B$5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'Visual Chart'!$C$3:$J$4</c:f>
              <c:multiLvlStrCache>
                <c:ptCount val="8"/>
                <c:lvl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 E</c:v>
                  </c:pt>
                  <c:pt idx="6">
                    <c:v>2027E</c:v>
                  </c:pt>
                  <c:pt idx="7">
                    <c:v>2028 E</c:v>
                  </c:pt>
                </c:lvl>
              </c:multiLvlStrCache>
            </c:multiLvlStrRef>
          </c:cat>
          <c:val>
            <c:numRef>
              <c:f>'Visual Chart'!$C$5:$J$5</c:f>
              <c:numCache>
                <c:formatCode>General</c:formatCode>
                <c:ptCount val="8"/>
                <c:pt idx="0">
                  <c:v>53823</c:v>
                </c:pt>
                <c:pt idx="1">
                  <c:v>81462</c:v>
                </c:pt>
                <c:pt idx="2">
                  <c:v>96773</c:v>
                </c:pt>
                <c:pt idx="3">
                  <c:v>97690</c:v>
                </c:pt>
                <c:pt idx="4">
                  <c:v>94827</c:v>
                </c:pt>
                <c:pt idx="5" formatCode="0">
                  <c:v>90085.65</c:v>
                </c:pt>
                <c:pt idx="6" formatCode="0">
                  <c:v>94589.932499999995</c:v>
                </c:pt>
                <c:pt idx="7" formatCode="0">
                  <c:v>102157.1271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F-4B9B-A760-B2E7759C1CA7}"/>
            </c:ext>
          </c:extLst>
        </c:ser>
        <c:ser>
          <c:idx val="1"/>
          <c:order val="1"/>
          <c:tx>
            <c:strRef>
              <c:f>'Visual Chart'!$B$6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'Visual Chart'!$C$3:$J$4</c:f>
              <c:multiLvlStrCache>
                <c:ptCount val="8"/>
                <c:lvl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 E</c:v>
                  </c:pt>
                  <c:pt idx="6">
                    <c:v>2027E</c:v>
                  </c:pt>
                  <c:pt idx="7">
                    <c:v>2028 E</c:v>
                  </c:pt>
                </c:lvl>
              </c:multiLvlStrCache>
            </c:multiLvlStrRef>
          </c:cat>
          <c:val>
            <c:numRef>
              <c:f>'Visual Chart'!$C$6:$J$6</c:f>
              <c:numCache>
                <c:formatCode>General</c:formatCode>
                <c:ptCount val="8"/>
                <c:pt idx="0">
                  <c:v>9434</c:v>
                </c:pt>
                <c:pt idx="1">
                  <c:v>17235</c:v>
                </c:pt>
                <c:pt idx="2">
                  <c:v>13558</c:v>
                </c:pt>
                <c:pt idx="3">
                  <c:v>13027</c:v>
                </c:pt>
                <c:pt idx="4">
                  <c:v>10503</c:v>
                </c:pt>
                <c:pt idx="5">
                  <c:v>11229.939450000002</c:v>
                </c:pt>
                <c:pt idx="6">
                  <c:v>13115.695477500012</c:v>
                </c:pt>
                <c:pt idx="7">
                  <c:v>15493.962922199999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EF-4B9B-A760-B2E7759C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588487"/>
        <c:axId val="821591559"/>
      </c:barChart>
      <c:catAx>
        <c:axId val="821588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91559"/>
        <c:crosses val="autoZero"/>
        <c:auto val="1"/>
        <c:lblAlgn val="ctr"/>
        <c:lblOffset val="100"/>
        <c:noMultiLvlLbl val="0"/>
      </c:catAx>
      <c:valAx>
        <c:axId val="821591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8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9</xdr:row>
      <xdr:rowOff>0</xdr:rowOff>
    </xdr:from>
    <xdr:to>
      <xdr:col>8</xdr:col>
      <xdr:colOff>590550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9D549-0302-F782-55B5-1613E49CC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10</xdr:row>
      <xdr:rowOff>142875</xdr:rowOff>
    </xdr:from>
    <xdr:to>
      <xdr:col>7</xdr:col>
      <xdr:colOff>561975</xdr:colOff>
      <xdr:row>11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41F5C5-87AD-CCD8-742F-26E15490B721}"/>
            </a:ext>
            <a:ext uri="{147F2762-F138-4A5C-976F-8EAC2B608ADB}">
              <a16:predDERef xmlns:a16="http://schemas.microsoft.com/office/drawing/2014/main" pred="{37D9D549-0302-F782-55B5-1613E49CC027}"/>
            </a:ext>
          </a:extLst>
        </xdr:cNvPr>
        <xdr:cNvSpPr txBox="1"/>
      </xdr:nvSpPr>
      <xdr:spPr>
        <a:xfrm>
          <a:off x="3876675" y="2047875"/>
          <a:ext cx="9525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Forecast Period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zoomScaleNormal="100" workbookViewId="0">
      <selection activeCell="C5" sqref="C5"/>
    </sheetView>
  </sheetViews>
  <sheetFormatPr defaultColWidth="8.7109375" defaultRowHeight="15"/>
  <cols>
    <col min="1" max="1" width="35.42578125" customWidth="1"/>
    <col min="7" max="7" width="47.5703125" customWidth="1"/>
    <col min="8" max="8" width="7.140625" customWidth="1"/>
  </cols>
  <sheetData>
    <row r="1" spans="1:7" ht="15" customHeight="1">
      <c r="A1" t="s">
        <v>0</v>
      </c>
    </row>
    <row r="3" spans="1:7" s="1" customFormat="1" ht="15" customHeight="1">
      <c r="A3" s="1" t="s">
        <v>1</v>
      </c>
      <c r="C3" s="1" t="s">
        <v>2</v>
      </c>
      <c r="D3" s="1" t="s">
        <v>3</v>
      </c>
      <c r="E3" s="1" t="s">
        <v>4</v>
      </c>
      <c r="G3" s="1" t="s">
        <v>5</v>
      </c>
    </row>
    <row r="4" spans="1:7" ht="15" customHeight="1">
      <c r="A4" t="s">
        <v>6</v>
      </c>
      <c r="C4" s="2">
        <v>-0.05</v>
      </c>
      <c r="D4" s="2">
        <v>0.05</v>
      </c>
      <c r="E4" s="2">
        <v>0.08</v>
      </c>
      <c r="F4" s="2"/>
      <c r="G4" t="s">
        <v>7</v>
      </c>
    </row>
    <row r="5" spans="1:7" ht="15" customHeight="1">
      <c r="A5" t="s">
        <v>8</v>
      </c>
      <c r="C5">
        <v>1800</v>
      </c>
      <c r="D5">
        <v>1600</v>
      </c>
      <c r="E5">
        <v>1400</v>
      </c>
      <c r="G5" t="s">
        <v>9</v>
      </c>
    </row>
    <row r="6" spans="1:7" ht="15" customHeight="1">
      <c r="A6" t="s">
        <v>10</v>
      </c>
      <c r="C6" s="2">
        <v>0.08</v>
      </c>
      <c r="D6" s="2">
        <v>0.1</v>
      </c>
      <c r="E6" s="2">
        <v>0.12</v>
      </c>
      <c r="F6" s="2"/>
      <c r="G6" t="s">
        <v>11</v>
      </c>
    </row>
    <row r="7" spans="1:7" ht="15" customHeight="1">
      <c r="A7" t="s">
        <v>12</v>
      </c>
      <c r="C7" s="2">
        <v>0.27</v>
      </c>
      <c r="D7" s="2">
        <v>0.3</v>
      </c>
      <c r="E7" s="2">
        <v>0.28000000000000003</v>
      </c>
      <c r="F7" s="2"/>
      <c r="G7" t="s">
        <v>13</v>
      </c>
    </row>
    <row r="8" spans="1:7" ht="15" customHeight="1">
      <c r="A8" t="s">
        <v>14</v>
      </c>
      <c r="C8" s="2">
        <v>0.19</v>
      </c>
      <c r="D8" s="2">
        <v>0.2</v>
      </c>
      <c r="E8" s="2">
        <v>0.18</v>
      </c>
      <c r="F8" s="2"/>
      <c r="G8" t="s">
        <v>15</v>
      </c>
    </row>
    <row r="9" spans="1:7" ht="15" customHeight="1">
      <c r="A9" t="s">
        <v>16</v>
      </c>
      <c r="C9" s="2">
        <v>-0.05</v>
      </c>
      <c r="D9" s="2">
        <v>0.05</v>
      </c>
      <c r="E9" s="2">
        <v>0.08</v>
      </c>
    </row>
    <row r="10" spans="1:7" s="1" customFormat="1" ht="15" customHeight="1">
      <c r="A10" s="1" t="s">
        <v>17</v>
      </c>
      <c r="C10" s="1" t="s">
        <v>2</v>
      </c>
      <c r="D10" s="1" t="s">
        <v>3</v>
      </c>
      <c r="E10" s="1" t="s">
        <v>4</v>
      </c>
      <c r="G10" s="1" t="s">
        <v>5</v>
      </c>
    </row>
    <row r="11" spans="1:7" ht="15" customHeight="1">
      <c r="A11" t="s">
        <v>18</v>
      </c>
      <c r="C11" s="2">
        <v>0.185</v>
      </c>
      <c r="D11" s="2">
        <v>0.19500000000000001</v>
      </c>
      <c r="E11" s="2">
        <v>0.20499999999999999</v>
      </c>
      <c r="F11" s="2"/>
      <c r="G11" t="s">
        <v>19</v>
      </c>
    </row>
    <row r="12" spans="1:7" ht="15" customHeight="1">
      <c r="A12" t="s">
        <v>20</v>
      </c>
      <c r="C12" s="2">
        <v>7.0000000000000007E-2</v>
      </c>
      <c r="D12" s="2">
        <v>6.8000000000000005E-2</v>
      </c>
      <c r="E12" s="2">
        <v>6.5000000000000002E-2</v>
      </c>
      <c r="F12" s="2"/>
      <c r="G12" t="s">
        <v>21</v>
      </c>
    </row>
    <row r="13" spans="1:7" ht="15" customHeight="1">
      <c r="A13" t="s">
        <v>22</v>
      </c>
      <c r="C13" s="2">
        <v>6.2E-2</v>
      </c>
      <c r="D13" s="2">
        <v>0.06</v>
      </c>
      <c r="E13" s="2">
        <v>5.8000000000000003E-2</v>
      </c>
      <c r="F13" s="2"/>
      <c r="G13" t="s">
        <v>23</v>
      </c>
    </row>
    <row r="14" spans="1:7" ht="15" customHeight="1">
      <c r="A14" t="s">
        <v>24</v>
      </c>
      <c r="C14" s="2">
        <v>0.255</v>
      </c>
      <c r="D14" s="2">
        <v>0.255</v>
      </c>
      <c r="E14" s="2">
        <v>0.255</v>
      </c>
      <c r="F14" s="2"/>
      <c r="G14" t="s">
        <v>25</v>
      </c>
    </row>
    <row r="15" spans="1:7" s="1" customFormat="1" ht="15" customHeight="1">
      <c r="A15" s="1" t="s">
        <v>26</v>
      </c>
      <c r="C15" s="1" t="s">
        <v>2</v>
      </c>
      <c r="D15" s="1" t="s">
        <v>3</v>
      </c>
      <c r="E15" s="1" t="s">
        <v>4</v>
      </c>
      <c r="G15" s="1" t="s">
        <v>5</v>
      </c>
    </row>
    <row r="16" spans="1:7" ht="15" customHeight="1">
      <c r="A16" t="s">
        <v>27</v>
      </c>
      <c r="C16" s="2">
        <v>3.7999999999999999E-2</v>
      </c>
      <c r="D16" s="2">
        <v>3.7999999999999999E-2</v>
      </c>
      <c r="E16" s="2">
        <v>3.7999999999999999E-2</v>
      </c>
      <c r="F16" s="2"/>
      <c r="G16" t="s">
        <v>28</v>
      </c>
    </row>
    <row r="17" spans="1:7" ht="15" customHeight="1">
      <c r="A17" t="s">
        <v>29</v>
      </c>
      <c r="C17">
        <v>338</v>
      </c>
      <c r="D17">
        <v>320</v>
      </c>
      <c r="E17">
        <v>300</v>
      </c>
      <c r="G17" t="s">
        <v>30</v>
      </c>
    </row>
    <row r="18" spans="1:7" ht="15" customHeight="1">
      <c r="A18" t="s">
        <v>31</v>
      </c>
      <c r="C18">
        <v>0</v>
      </c>
      <c r="D18">
        <v>0</v>
      </c>
      <c r="E18">
        <v>0</v>
      </c>
      <c r="G18" t="s">
        <v>32</v>
      </c>
    </row>
    <row r="19" spans="1:7" s="1" customFormat="1" ht="15" customHeight="1">
      <c r="A19" s="1" t="s">
        <v>33</v>
      </c>
      <c r="C19" s="1" t="s">
        <v>2</v>
      </c>
      <c r="D19" s="1" t="s">
        <v>3</v>
      </c>
      <c r="E19" s="1" t="s">
        <v>4</v>
      </c>
      <c r="G19" s="1" t="s">
        <v>5</v>
      </c>
    </row>
    <row r="20" spans="1:7" ht="15" customHeight="1">
      <c r="A20" t="s">
        <v>34</v>
      </c>
      <c r="C20" s="2">
        <v>0.05</v>
      </c>
      <c r="D20" s="2">
        <v>0.05</v>
      </c>
      <c r="E20" s="2">
        <v>0.05</v>
      </c>
      <c r="F20" s="2"/>
      <c r="G20" t="s">
        <v>35</v>
      </c>
    </row>
    <row r="21" spans="1:7" ht="15" customHeight="1">
      <c r="A21" t="s">
        <v>36</v>
      </c>
      <c r="C21" s="2">
        <v>0.09</v>
      </c>
      <c r="D21" s="2">
        <v>8.5000000000000006E-2</v>
      </c>
      <c r="E21" s="2">
        <v>8.2000000000000003E-2</v>
      </c>
      <c r="F21" s="2"/>
      <c r="G21" t="s">
        <v>37</v>
      </c>
    </row>
    <row r="22" spans="1:7" ht="15" customHeight="1">
      <c r="A22" t="s">
        <v>38</v>
      </c>
      <c r="C22">
        <v>3241</v>
      </c>
      <c r="D22">
        <v>3257</v>
      </c>
      <c r="E22">
        <v>3273</v>
      </c>
      <c r="G22" t="s">
        <v>39</v>
      </c>
    </row>
    <row r="23" spans="1:7" ht="15" customHeight="1">
      <c r="A23" t="s">
        <v>40</v>
      </c>
      <c r="C23">
        <v>3546</v>
      </c>
      <c r="D23">
        <v>3564</v>
      </c>
      <c r="E23">
        <v>3582</v>
      </c>
      <c r="G23" t="s">
        <v>39</v>
      </c>
    </row>
    <row r="24" spans="1:7" s="1" customFormat="1" ht="15" customHeight="1">
      <c r="A24" s="1" t="s">
        <v>41</v>
      </c>
      <c r="C24" s="1" t="s">
        <v>2</v>
      </c>
      <c r="D24" s="1" t="s">
        <v>3</v>
      </c>
      <c r="E24" s="1" t="s">
        <v>4</v>
      </c>
      <c r="G24" s="1" t="s">
        <v>42</v>
      </c>
    </row>
    <row r="25" spans="1:7" ht="15" customHeight="1">
      <c r="A25" t="s">
        <v>43</v>
      </c>
      <c r="C25" s="2">
        <v>4.9000000000000002E-2</v>
      </c>
      <c r="D25" s="2">
        <v>4.9000000000000002E-2</v>
      </c>
      <c r="E25" s="2">
        <v>4.9000000000000002E-2</v>
      </c>
      <c r="G25" t="s">
        <v>44</v>
      </c>
    </row>
    <row r="26" spans="1:7" ht="15" customHeight="1">
      <c r="A26" t="s">
        <v>45</v>
      </c>
      <c r="C26" s="2">
        <v>0.13100000000000001</v>
      </c>
      <c r="D26" s="2">
        <v>0.13</v>
      </c>
      <c r="E26" s="2">
        <v>0.128</v>
      </c>
      <c r="G26" t="s">
        <v>46</v>
      </c>
    </row>
    <row r="27" spans="1:7" ht="15" customHeight="1">
      <c r="A27" t="s">
        <v>47</v>
      </c>
      <c r="C27" s="2">
        <v>7.4999999999999997E-2</v>
      </c>
      <c r="D27" s="2">
        <v>7.2999999999999995E-2</v>
      </c>
      <c r="E27" s="2">
        <v>7.0000000000000007E-2</v>
      </c>
      <c r="G27" t="s">
        <v>48</v>
      </c>
    </row>
    <row r="28" spans="1:7" ht="15" customHeight="1">
      <c r="A28" t="s">
        <v>49</v>
      </c>
      <c r="C28" s="2">
        <v>1E-3</v>
      </c>
      <c r="D28" s="2">
        <v>1E-3</v>
      </c>
      <c r="E28" s="2">
        <v>1E-3</v>
      </c>
      <c r="G28" t="s">
        <v>50</v>
      </c>
    </row>
    <row r="29" spans="1:7" ht="15" customHeight="1">
      <c r="A29" t="s">
        <v>51</v>
      </c>
      <c r="C29">
        <v>389</v>
      </c>
      <c r="D29">
        <v>389</v>
      </c>
      <c r="E29">
        <v>389</v>
      </c>
      <c r="G29" t="s">
        <v>52</v>
      </c>
    </row>
    <row r="30" spans="1:7" s="1" customFormat="1" ht="15" customHeight="1">
      <c r="A30" s="1" t="s">
        <v>53</v>
      </c>
      <c r="C30" s="1" t="s">
        <v>2</v>
      </c>
      <c r="D30" s="1" t="s">
        <v>3</v>
      </c>
      <c r="E30" s="1" t="s">
        <v>4</v>
      </c>
      <c r="G30" s="1" t="s">
        <v>42</v>
      </c>
    </row>
    <row r="31" spans="1:7" ht="15" customHeight="1">
      <c r="A31" t="s">
        <v>54</v>
      </c>
      <c r="C31">
        <v>6925</v>
      </c>
      <c r="D31">
        <v>6925</v>
      </c>
      <c r="E31">
        <v>6925</v>
      </c>
      <c r="G31" t="s">
        <v>55</v>
      </c>
    </row>
    <row r="32" spans="1:7" ht="15" customHeight="1">
      <c r="A32" t="s">
        <v>56</v>
      </c>
      <c r="C32" s="2">
        <v>4.9000000000000002E-2</v>
      </c>
      <c r="D32" s="2">
        <v>4.9000000000000002E-2</v>
      </c>
      <c r="E32" s="2">
        <v>4.9000000000000002E-2</v>
      </c>
      <c r="G32" t="s">
        <v>44</v>
      </c>
    </row>
    <row r="33" spans="1:7" ht="15" customHeight="1">
      <c r="A33" t="s">
        <v>57</v>
      </c>
      <c r="C33" s="2">
        <v>1.4999999999999999E-2</v>
      </c>
      <c r="D33" s="2">
        <v>1.4999999999999999E-2</v>
      </c>
      <c r="E33" s="2">
        <v>1.4E-2</v>
      </c>
      <c r="G33" t="s">
        <v>58</v>
      </c>
    </row>
    <row r="34" spans="1:7" s="1" customFormat="1" ht="15" customHeight="1">
      <c r="A34" s="1" t="s">
        <v>59</v>
      </c>
      <c r="C34" s="1" t="s">
        <v>2</v>
      </c>
      <c r="D34" s="1" t="s">
        <v>3</v>
      </c>
      <c r="E34" s="1" t="s">
        <v>4</v>
      </c>
      <c r="G34" s="1" t="s">
        <v>42</v>
      </c>
    </row>
    <row r="35" spans="1:7" ht="15" customHeight="1">
      <c r="A35" t="s">
        <v>60</v>
      </c>
      <c r="C35" s="2">
        <v>0.14099999999999999</v>
      </c>
      <c r="D35" s="2">
        <v>0.14000000000000001</v>
      </c>
      <c r="E35" s="2">
        <v>0.13800000000000001</v>
      </c>
      <c r="G35" t="s">
        <v>61</v>
      </c>
    </row>
    <row r="36" spans="1:7" ht="15" customHeight="1">
      <c r="A36" t="s">
        <v>62</v>
      </c>
      <c r="C36" s="2">
        <v>4.7E-2</v>
      </c>
      <c r="D36" s="2">
        <v>4.7E-2</v>
      </c>
      <c r="E36" s="2">
        <v>4.7E-2</v>
      </c>
      <c r="G36" t="s">
        <v>63</v>
      </c>
    </row>
    <row r="37" spans="1:7" ht="15" customHeight="1">
      <c r="A37" t="s">
        <v>64</v>
      </c>
      <c r="C37" s="2">
        <v>3.5999999999999997E-2</v>
      </c>
      <c r="D37" s="2">
        <v>3.6999999999999998E-2</v>
      </c>
      <c r="E37" s="2">
        <v>3.7999999999999999E-2</v>
      </c>
      <c r="G37" t="s">
        <v>65</v>
      </c>
    </row>
    <row r="38" spans="1:7" ht="15" customHeight="1">
      <c r="A38" t="s">
        <v>66</v>
      </c>
      <c r="C38" s="2">
        <v>1.7000000000000001E-2</v>
      </c>
      <c r="D38" s="2">
        <v>1.7000000000000001E-2</v>
      </c>
      <c r="E38" s="2">
        <v>1.7000000000000001E-2</v>
      </c>
      <c r="G38" t="s">
        <v>63</v>
      </c>
    </row>
    <row r="39" spans="1:7" ht="15" customHeight="1">
      <c r="A39" t="s">
        <v>67</v>
      </c>
      <c r="C39" s="2">
        <v>6.6000000000000003E-2</v>
      </c>
      <c r="D39" s="2">
        <v>6.6000000000000003E-2</v>
      </c>
      <c r="E39" s="2">
        <v>6.5000000000000002E-2</v>
      </c>
      <c r="G39" t="s">
        <v>63</v>
      </c>
    </row>
    <row r="40" spans="1:7" ht="15" customHeight="1">
      <c r="A40" t="s">
        <v>68</v>
      </c>
      <c r="C40">
        <v>1025</v>
      </c>
      <c r="D40">
        <v>1025</v>
      </c>
      <c r="E40">
        <v>1025</v>
      </c>
      <c r="G40" t="s">
        <v>69</v>
      </c>
    </row>
    <row r="41" spans="1:7" s="1" customFormat="1" ht="15" customHeight="1">
      <c r="A41" s="1" t="s">
        <v>70</v>
      </c>
      <c r="C41" s="1" t="s">
        <v>2</v>
      </c>
      <c r="D41" s="1" t="s">
        <v>3</v>
      </c>
      <c r="E41" s="1" t="s">
        <v>4</v>
      </c>
      <c r="G41" s="1" t="s">
        <v>42</v>
      </c>
    </row>
    <row r="42" spans="1:7" ht="15" customHeight="1">
      <c r="A42" t="s">
        <v>71</v>
      </c>
      <c r="C42">
        <v>6500</v>
      </c>
      <c r="D42">
        <v>6200</v>
      </c>
      <c r="E42">
        <v>5900</v>
      </c>
      <c r="G42" t="s">
        <v>72</v>
      </c>
    </row>
    <row r="43" spans="1:7" ht="15" customHeight="1">
      <c r="A43" t="s">
        <v>73</v>
      </c>
      <c r="C43">
        <v>1569</v>
      </c>
      <c r="D43">
        <v>1500</v>
      </c>
      <c r="E43">
        <v>1400</v>
      </c>
      <c r="G43" t="s">
        <v>72</v>
      </c>
    </row>
    <row r="44" spans="1:7" ht="15" customHeight="1">
      <c r="A44" t="s">
        <v>74</v>
      </c>
      <c r="C44">
        <v>5707</v>
      </c>
      <c r="D44">
        <v>5878</v>
      </c>
      <c r="E44">
        <v>6054</v>
      </c>
      <c r="G44" t="s">
        <v>75</v>
      </c>
    </row>
    <row r="45" spans="1:7" ht="15" customHeight="1">
      <c r="A45" t="s">
        <v>76</v>
      </c>
      <c r="C45" s="2">
        <v>3.7999999999999999E-2</v>
      </c>
      <c r="D45" s="2">
        <v>3.9E-2</v>
      </c>
      <c r="E45" s="2">
        <v>0.04</v>
      </c>
      <c r="G45" t="s">
        <v>65</v>
      </c>
    </row>
    <row r="46" spans="1:7" ht="15" customHeight="1">
      <c r="A46" t="s">
        <v>77</v>
      </c>
      <c r="C46">
        <v>7845</v>
      </c>
      <c r="D46">
        <v>8237</v>
      </c>
      <c r="E46">
        <v>8649</v>
      </c>
      <c r="G46" t="s">
        <v>78</v>
      </c>
    </row>
    <row r="47" spans="1:7" ht="15" customHeight="1">
      <c r="A47" t="s">
        <v>79</v>
      </c>
      <c r="C47">
        <v>0</v>
      </c>
      <c r="D47">
        <v>0</v>
      </c>
      <c r="E47">
        <v>0</v>
      </c>
      <c r="G47" t="s">
        <v>80</v>
      </c>
    </row>
    <row r="48" spans="1:7" s="1" customFormat="1" ht="15" customHeight="1">
      <c r="A48" s="1" t="s">
        <v>81</v>
      </c>
      <c r="C48" s="1" t="s">
        <v>2</v>
      </c>
      <c r="D48" s="1" t="s">
        <v>3</v>
      </c>
      <c r="E48" s="1" t="s">
        <v>4</v>
      </c>
      <c r="G48" s="1" t="s">
        <v>42</v>
      </c>
    </row>
    <row r="49" spans="1:7" ht="15" customHeight="1">
      <c r="A49" t="s">
        <v>82</v>
      </c>
      <c r="C49">
        <v>2500</v>
      </c>
      <c r="D49">
        <v>2600</v>
      </c>
      <c r="E49">
        <v>2700</v>
      </c>
      <c r="G49" t="s">
        <v>83</v>
      </c>
    </row>
    <row r="50" spans="1:7" ht="15" customHeight="1">
      <c r="A50" t="s">
        <v>84</v>
      </c>
      <c r="C50">
        <v>361</v>
      </c>
      <c r="D50">
        <v>361</v>
      </c>
      <c r="E50">
        <v>361</v>
      </c>
      <c r="G50" t="s">
        <v>85</v>
      </c>
    </row>
    <row r="51" spans="1:7" ht="15" customHeight="1">
      <c r="A51" t="s">
        <v>86</v>
      </c>
      <c r="C51" s="2">
        <v>-0.05</v>
      </c>
      <c r="D51" s="2">
        <v>-0.05</v>
      </c>
      <c r="E51" s="2">
        <v>-0.05</v>
      </c>
      <c r="G51" t="s">
        <v>87</v>
      </c>
    </row>
    <row r="52" spans="1:7" ht="15" customHeight="1">
      <c r="A52" t="s">
        <v>88</v>
      </c>
      <c r="C52">
        <v>17</v>
      </c>
      <c r="D52">
        <v>17</v>
      </c>
      <c r="E52">
        <v>16</v>
      </c>
      <c r="G52" t="s">
        <v>44</v>
      </c>
    </row>
    <row r="53" spans="1:7" ht="15" customHeight="1">
      <c r="A53" t="s">
        <v>89</v>
      </c>
      <c r="C53">
        <v>62</v>
      </c>
      <c r="D53">
        <v>63</v>
      </c>
      <c r="E53">
        <v>64</v>
      </c>
      <c r="G53" t="s">
        <v>90</v>
      </c>
    </row>
    <row r="54" spans="1:7" ht="15" customHeight="1">
      <c r="A54" t="s">
        <v>91</v>
      </c>
      <c r="C54">
        <v>57</v>
      </c>
      <c r="D54">
        <v>55</v>
      </c>
      <c r="E54">
        <v>53</v>
      </c>
      <c r="G54" t="s">
        <v>92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7"/>
  <sheetViews>
    <sheetView topLeftCell="D18" zoomScaleNormal="100" workbookViewId="0">
      <selection activeCell="H21" sqref="H21"/>
    </sheetView>
  </sheetViews>
  <sheetFormatPr defaultColWidth="8.7109375" defaultRowHeight="15"/>
  <cols>
    <col min="2" max="2" width="28.28515625" customWidth="1"/>
    <col min="3" max="8" width="9.42578125" customWidth="1"/>
    <col min="9" max="9" width="7.28515625" customWidth="1"/>
    <col min="10" max="10" width="8.42578125" customWidth="1"/>
    <col min="15" max="15" width="11.140625" customWidth="1"/>
    <col min="16" max="16" width="26.28515625" customWidth="1"/>
    <col min="17" max="17" width="15.42578125" customWidth="1"/>
    <col min="18" max="18" width="13.28515625" customWidth="1"/>
  </cols>
  <sheetData>
    <row r="1" spans="2:10" s="12" customFormat="1" ht="15" customHeight="1">
      <c r="F1" s="12" t="s">
        <v>93</v>
      </c>
    </row>
    <row r="3" spans="2:10" ht="15" customHeight="1">
      <c r="C3">
        <v>2021</v>
      </c>
      <c r="D3">
        <v>2022</v>
      </c>
      <c r="E3">
        <v>2023</v>
      </c>
      <c r="F3">
        <v>2024</v>
      </c>
      <c r="G3">
        <v>2025</v>
      </c>
      <c r="H3" t="s">
        <v>94</v>
      </c>
      <c r="I3" t="s">
        <v>3</v>
      </c>
      <c r="J3" t="s">
        <v>95</v>
      </c>
    </row>
    <row r="4" spans="2:10" ht="15" customHeight="1">
      <c r="B4" s="1" t="s">
        <v>96</v>
      </c>
    </row>
    <row r="5" spans="2:10" ht="15" customHeight="1">
      <c r="B5" t="s">
        <v>97</v>
      </c>
      <c r="C5">
        <v>53823</v>
      </c>
      <c r="D5">
        <v>81462</v>
      </c>
      <c r="E5">
        <v>96773</v>
      </c>
      <c r="F5">
        <v>97690</v>
      </c>
      <c r="G5">
        <v>94827</v>
      </c>
      <c r="H5" s="9">
        <f>G5*(1+Assumptions!C4)</f>
        <v>90085.65</v>
      </c>
      <c r="I5" s="9">
        <f>H5*(1+Assumptions!D4)</f>
        <v>94589.932499999995</v>
      </c>
      <c r="J5" s="9">
        <f>I5*(1+Assumptions!E4)</f>
        <v>102157.1271</v>
      </c>
    </row>
    <row r="7" spans="2:10" ht="15" customHeight="1">
      <c r="B7" s="1" t="s">
        <v>98</v>
      </c>
    </row>
    <row r="8" spans="2:10" ht="15" customHeight="1">
      <c r="B8" t="s">
        <v>99</v>
      </c>
      <c r="C8">
        <v>-40217</v>
      </c>
      <c r="D8">
        <v>-60609</v>
      </c>
      <c r="E8">
        <v>-79113</v>
      </c>
      <c r="F8">
        <v>-80240</v>
      </c>
      <c r="G8">
        <v>-77733</v>
      </c>
      <c r="H8" s="9">
        <f>-H5*(1-H11)</f>
        <v>-73419.804749999996</v>
      </c>
      <c r="I8" s="9">
        <f>-I5*(1-I11)</f>
        <v>-76144.895662499985</v>
      </c>
      <c r="J8" s="9">
        <f>-J5*(1-J11)</f>
        <v>-81214.916044500002</v>
      </c>
    </row>
    <row r="10" spans="2:10" ht="15" customHeight="1">
      <c r="B10" s="1" t="s">
        <v>100</v>
      </c>
      <c r="C10">
        <f>C5+C8</f>
        <v>13606</v>
      </c>
      <c r="D10">
        <f>D5+D8</f>
        <v>20853</v>
      </c>
      <c r="E10">
        <f>E5+E8</f>
        <v>17660</v>
      </c>
      <c r="F10">
        <f>F5+F8</f>
        <v>17450</v>
      </c>
      <c r="G10">
        <f>G5+G8</f>
        <v>17094</v>
      </c>
      <c r="H10" s="9">
        <f>H5+H8</f>
        <v>16665.845249999998</v>
      </c>
      <c r="I10" s="9">
        <f>I5+I8</f>
        <v>18445.036837500011</v>
      </c>
      <c r="J10" s="9">
        <f>J5+J8</f>
        <v>20942.211055499996</v>
      </c>
    </row>
    <row r="11" spans="2:10" ht="15" customHeight="1">
      <c r="B11" t="s">
        <v>18</v>
      </c>
      <c r="C11" s="3">
        <f>C10/C5</f>
        <v>0.25279155751258753</v>
      </c>
      <c r="D11" s="3">
        <f>D10/D5</f>
        <v>0.25598438535759005</v>
      </c>
      <c r="E11" s="3">
        <f>E10/E5</f>
        <v>0.18248891736331416</v>
      </c>
      <c r="F11" s="3">
        <f>F10/F5</f>
        <v>0.17862626676220697</v>
      </c>
      <c r="G11" s="3">
        <f>G10/G5</f>
        <v>0.18026511436616155</v>
      </c>
      <c r="H11" s="2">
        <f>Assumptions!C11</f>
        <v>0.185</v>
      </c>
      <c r="I11" s="2">
        <f>Assumptions!D11</f>
        <v>0.19500000000000001</v>
      </c>
      <c r="J11" s="2">
        <f>Assumptions!E11</f>
        <v>0.20499999999999999</v>
      </c>
    </row>
    <row r="12" spans="2:10" ht="15" customHeight="1">
      <c r="C12" s="4"/>
      <c r="D12" s="4"/>
      <c r="E12" s="4"/>
      <c r="F12" s="4"/>
      <c r="G12" s="4"/>
      <c r="H12" s="4"/>
      <c r="I12" s="4"/>
      <c r="J12" s="4"/>
    </row>
    <row r="13" spans="2:10" ht="15" customHeight="1">
      <c r="B13" s="1" t="s">
        <v>101</v>
      </c>
    </row>
    <row r="14" spans="2:10" ht="15" customHeight="1">
      <c r="B14" t="s">
        <v>102</v>
      </c>
      <c r="C14">
        <v>-4517</v>
      </c>
      <c r="D14">
        <v>-3946</v>
      </c>
      <c r="E14">
        <v>-4800</v>
      </c>
      <c r="F14">
        <v>-5150</v>
      </c>
      <c r="G14">
        <v>-5834</v>
      </c>
      <c r="H14" s="9">
        <f>-H5*Assumptions!C13</f>
        <v>-5585.3102999999992</v>
      </c>
      <c r="I14" s="9">
        <f>-I5*Assumptions!D13</f>
        <v>-5675.3959499999992</v>
      </c>
      <c r="J14" s="9">
        <f>-J5*Assumptions!E13</f>
        <v>-5925.1133718000001</v>
      </c>
    </row>
    <row r="15" spans="2:10" ht="15" customHeight="1">
      <c r="B15" t="s">
        <v>103</v>
      </c>
      <c r="C15">
        <v>-2593</v>
      </c>
      <c r="D15">
        <v>-3075</v>
      </c>
      <c r="E15">
        <v>-3969</v>
      </c>
      <c r="F15">
        <v>-4540</v>
      </c>
      <c r="G15">
        <v>-6411</v>
      </c>
      <c r="H15" s="9">
        <f>-H5*Assumptions!C12</f>
        <v>-6305.9955</v>
      </c>
      <c r="I15" s="9">
        <f>-I5*Assumptions!D12</f>
        <v>-6432.1154100000003</v>
      </c>
      <c r="J15" s="9">
        <f>-J5*Assumptions!E12</f>
        <v>-6640.2132615</v>
      </c>
    </row>
    <row r="16" spans="2:10" ht="15" customHeight="1">
      <c r="B16" t="s">
        <v>104</v>
      </c>
      <c r="C16">
        <v>27</v>
      </c>
      <c r="D16">
        <v>-140</v>
      </c>
      <c r="E16">
        <v>0</v>
      </c>
      <c r="F16">
        <v>-101</v>
      </c>
      <c r="G16">
        <v>-494</v>
      </c>
      <c r="H16">
        <v>0</v>
      </c>
      <c r="I16">
        <v>0</v>
      </c>
      <c r="J16">
        <v>0</v>
      </c>
    </row>
    <row r="17" spans="2:10" ht="15" customHeight="1">
      <c r="B17" s="5" t="s">
        <v>105</v>
      </c>
      <c r="C17">
        <f>SUM(C14:C16)</f>
        <v>-7083</v>
      </c>
      <c r="D17">
        <f>SUM(D14:D16)</f>
        <v>-7161</v>
      </c>
      <c r="E17">
        <f>SUM(E14:E16)</f>
        <v>-8769</v>
      </c>
      <c r="F17">
        <f>SUM(F14:F16)</f>
        <v>-9791</v>
      </c>
      <c r="G17">
        <f>SUM(G14:G16)</f>
        <v>-12739</v>
      </c>
      <c r="H17" s="9">
        <f>SUM(H14:H16)</f>
        <v>-11891.305799999998</v>
      </c>
      <c r="I17" s="9">
        <f>SUM(I14:I16)</f>
        <v>-12107.51136</v>
      </c>
      <c r="J17" s="9">
        <f>SUM(J14:J16)</f>
        <v>-12565.326633299999</v>
      </c>
    </row>
    <row r="19" spans="2:10" ht="15" customHeight="1">
      <c r="B19" s="5" t="s">
        <v>106</v>
      </c>
      <c r="C19">
        <f>C10+C17</f>
        <v>6523</v>
      </c>
      <c r="D19">
        <f>D10+D17</f>
        <v>13692</v>
      </c>
      <c r="E19">
        <f>E10+E17</f>
        <v>8891</v>
      </c>
      <c r="F19">
        <f>F10+F17</f>
        <v>7659</v>
      </c>
      <c r="G19">
        <f>G10+G17</f>
        <v>4355</v>
      </c>
      <c r="H19" s="9">
        <f>H10+H17</f>
        <v>4774.5394500000002</v>
      </c>
      <c r="I19" s="9">
        <f>I10+I17</f>
        <v>6337.5254775000103</v>
      </c>
      <c r="J19" s="9">
        <f>J10+J17</f>
        <v>8376.8844221999971</v>
      </c>
    </row>
    <row r="20" spans="2:10" ht="15" customHeight="1">
      <c r="B20" t="s">
        <v>107</v>
      </c>
      <c r="C20" s="2">
        <f>C19/C5</f>
        <v>0.12119354179440016</v>
      </c>
      <c r="D20" s="2">
        <f>D19/D5</f>
        <v>0.16807836782794433</v>
      </c>
      <c r="E20" s="2">
        <f>E19/E5</f>
        <v>9.1874799789197395E-2</v>
      </c>
      <c r="F20" s="2">
        <f>F19/F5</f>
        <v>7.8401064592076977E-2</v>
      </c>
      <c r="G20" s="2">
        <f>G19/G5</f>
        <v>4.5925738450019508E-2</v>
      </c>
      <c r="H20" s="2">
        <f>H19/H5</f>
        <v>5.3000000000000005E-2</v>
      </c>
      <c r="I20" s="2">
        <f>I19/I5</f>
        <v>6.7000000000000115E-2</v>
      </c>
      <c r="J20" s="2">
        <f>J19/J5</f>
        <v>8.1999999999999976E-2</v>
      </c>
    </row>
    <row r="22" spans="2:10" ht="15" customHeight="1">
      <c r="B22" s="1" t="s">
        <v>108</v>
      </c>
    </row>
    <row r="23" spans="2:10" ht="15" customHeight="1">
      <c r="B23" t="s">
        <v>109</v>
      </c>
      <c r="C23">
        <v>-371</v>
      </c>
      <c r="D23">
        <v>-191</v>
      </c>
      <c r="E23">
        <v>-156</v>
      </c>
      <c r="F23">
        <v>-350</v>
      </c>
      <c r="G23">
        <v>-338</v>
      </c>
      <c r="H23">
        <f>-Assumptions!C17</f>
        <v>-338</v>
      </c>
      <c r="I23">
        <f>-Assumptions!D17</f>
        <v>-320</v>
      </c>
      <c r="J23">
        <f>-Assumptions!E17</f>
        <v>-300</v>
      </c>
    </row>
    <row r="24" spans="2:10" ht="15" customHeight="1">
      <c r="B24" t="s">
        <v>110</v>
      </c>
      <c r="C24">
        <v>56</v>
      </c>
      <c r="D24">
        <v>297</v>
      </c>
      <c r="E24">
        <v>1066</v>
      </c>
      <c r="F24">
        <v>1569</v>
      </c>
      <c r="G24">
        <v>1680</v>
      </c>
      <c r="H24" s="9">
        <f>'Balance Sheet'!G7*Assumptions!C16</f>
        <v>1674.242</v>
      </c>
      <c r="I24" s="9">
        <f>'Balance Sheet'!H7*Assumptions!D16</f>
        <v>1849.0461659494999</v>
      </c>
      <c r="J24" s="9">
        <f>'Balance Sheet'!I7*Assumptions!E16</f>
        <v>2252.8007662055556</v>
      </c>
    </row>
    <row r="25" spans="2:10" ht="15" customHeight="1">
      <c r="B25" t="s">
        <v>111</v>
      </c>
      <c r="C25">
        <v>97</v>
      </c>
      <c r="D25">
        <v>-89</v>
      </c>
      <c r="E25">
        <v>122</v>
      </c>
      <c r="F25">
        <v>57</v>
      </c>
      <c r="G25">
        <v>407</v>
      </c>
      <c r="H25">
        <v>0</v>
      </c>
      <c r="I25">
        <v>0</v>
      </c>
      <c r="J25">
        <v>0</v>
      </c>
    </row>
    <row r="26" spans="2:10" ht="15" customHeight="1">
      <c r="B26" t="s">
        <v>112</v>
      </c>
      <c r="C26">
        <v>38</v>
      </c>
      <c r="D26">
        <v>46</v>
      </c>
      <c r="E26">
        <v>50</v>
      </c>
      <c r="F26">
        <v>638</v>
      </c>
      <c r="G26">
        <v>-826</v>
      </c>
      <c r="H26">
        <v>0</v>
      </c>
      <c r="I26">
        <v>0</v>
      </c>
      <c r="J26">
        <v>0</v>
      </c>
    </row>
    <row r="27" spans="2:10" ht="15" customHeight="1">
      <c r="B27" t="s">
        <v>113</v>
      </c>
      <c r="D27">
        <v>-36</v>
      </c>
      <c r="F27">
        <v>-583</v>
      </c>
      <c r="H27">
        <v>0</v>
      </c>
      <c r="I27">
        <v>0</v>
      </c>
      <c r="J27">
        <v>0</v>
      </c>
    </row>
    <row r="28" spans="2:10" ht="15" customHeight="1">
      <c r="B28" s="1" t="s">
        <v>114</v>
      </c>
      <c r="C28">
        <f>C19+C23+C24+C25+C26</f>
        <v>6343</v>
      </c>
      <c r="D28">
        <f>D19+D23+D24+D25+D26+D27</f>
        <v>13719</v>
      </c>
      <c r="E28">
        <f>E19+E23+E24+E25+E26+E27</f>
        <v>9973</v>
      </c>
      <c r="F28">
        <f>F19+F23+F24+F25+F26+F27</f>
        <v>8990</v>
      </c>
      <c r="G28">
        <f>G19+G23+G24+G25+G26+G27</f>
        <v>5278</v>
      </c>
      <c r="H28" s="9">
        <f>H19+H23+H24+H25+H26</f>
        <v>6110.7814500000004</v>
      </c>
      <c r="I28" s="9">
        <f>I19+I23+I24+I25+I26</f>
        <v>7866.5716434495098</v>
      </c>
      <c r="J28" s="9">
        <f>J19+J23+J24+J25+J26</f>
        <v>10329.685188405552</v>
      </c>
    </row>
    <row r="29" spans="2:10" ht="15" customHeight="1">
      <c r="B29" t="s">
        <v>115</v>
      </c>
      <c r="C29">
        <v>-699</v>
      </c>
      <c r="D29">
        <v>-1132</v>
      </c>
      <c r="E29">
        <v>5001</v>
      </c>
      <c r="F29">
        <v>-1837</v>
      </c>
      <c r="G29">
        <v>-1423</v>
      </c>
      <c r="H29" s="9">
        <f>-H28*Assumptions!C14</f>
        <v>-1558.2492697500002</v>
      </c>
      <c r="I29" s="9">
        <f>-I28*Assumptions!D14</f>
        <v>-2005.975769079625</v>
      </c>
      <c r="J29" s="9">
        <f>-J28*Assumptions!E14</f>
        <v>-2634.0697230434157</v>
      </c>
    </row>
    <row r="30" spans="2:10" ht="15" customHeight="1">
      <c r="B30" t="s">
        <v>116</v>
      </c>
      <c r="C30">
        <v>-125</v>
      </c>
      <c r="D30">
        <v>-31</v>
      </c>
      <c r="E30">
        <v>23</v>
      </c>
      <c r="F30">
        <v>-62</v>
      </c>
      <c r="G30">
        <v>-61</v>
      </c>
      <c r="H30" s="9">
        <f>G30*(1-5%)</f>
        <v>-57.949999999999996</v>
      </c>
      <c r="I30" s="9">
        <f t="shared" ref="I30:J30" si="0">H30*(1-5%)</f>
        <v>-55.052499999999995</v>
      </c>
      <c r="J30" s="9">
        <f t="shared" si="0"/>
        <v>-52.299874999999993</v>
      </c>
    </row>
    <row r="32" spans="2:10" ht="15" customHeight="1">
      <c r="B32" s="1" t="s">
        <v>117</v>
      </c>
      <c r="C32">
        <f>C28+C29+C30</f>
        <v>5519</v>
      </c>
      <c r="D32">
        <f>D28+D29+D30</f>
        <v>12556</v>
      </c>
      <c r="E32">
        <f>E28+E29+E30</f>
        <v>14997</v>
      </c>
      <c r="F32">
        <f>F28+F29+F30</f>
        <v>7091</v>
      </c>
      <c r="G32">
        <f>G28+G29+G30</f>
        <v>3794</v>
      </c>
      <c r="H32" s="9">
        <f>H28+H29+H30</f>
        <v>4494.5821802500004</v>
      </c>
      <c r="I32" s="9">
        <f>I28+I29+I30</f>
        <v>5805.543374369885</v>
      </c>
      <c r="J32" s="9">
        <f>J28+J29+J30</f>
        <v>7643.3155903621364</v>
      </c>
    </row>
    <row r="33" spans="2:10" ht="15" customHeight="1">
      <c r="B33" t="s">
        <v>118</v>
      </c>
      <c r="C33">
        <v>5</v>
      </c>
      <c r="D33">
        <v>27</v>
      </c>
      <c r="E33">
        <v>2</v>
      </c>
      <c r="F33">
        <v>39</v>
      </c>
      <c r="G33">
        <v>0</v>
      </c>
      <c r="H33" s="9">
        <f>G33</f>
        <v>0</v>
      </c>
      <c r="I33" s="9">
        <f>H33</f>
        <v>0</v>
      </c>
      <c r="J33" s="9">
        <f>I33</f>
        <v>0</v>
      </c>
    </row>
    <row r="34" spans="2:10" ht="15" customHeight="1">
      <c r="B34" t="s">
        <v>119</v>
      </c>
      <c r="C34">
        <f>C32+C33</f>
        <v>5524</v>
      </c>
      <c r="D34">
        <f>D32+D33</f>
        <v>12583</v>
      </c>
      <c r="E34">
        <f>E32+E33</f>
        <v>14999</v>
      </c>
      <c r="F34">
        <f>F32+F33</f>
        <v>7130</v>
      </c>
      <c r="G34">
        <f>G32+G33</f>
        <v>3794</v>
      </c>
      <c r="H34" s="9">
        <f>H32+H33</f>
        <v>4494.5821802500004</v>
      </c>
      <c r="I34" s="9">
        <f>I32+I33</f>
        <v>5805.543374369885</v>
      </c>
      <c r="J34" s="9">
        <f>J32+J33</f>
        <v>7643.3155903621364</v>
      </c>
    </row>
    <row r="36" spans="2:10" ht="15" customHeight="1">
      <c r="B36" t="s">
        <v>38</v>
      </c>
      <c r="C36">
        <v>2959</v>
      </c>
      <c r="D36">
        <v>3130</v>
      </c>
      <c r="E36">
        <v>3174</v>
      </c>
      <c r="F36">
        <v>3197</v>
      </c>
      <c r="G36">
        <v>3225</v>
      </c>
      <c r="H36">
        <f>Assumptions!C22</f>
        <v>3241</v>
      </c>
      <c r="I36">
        <f>Assumptions!D22</f>
        <v>3257</v>
      </c>
      <c r="J36">
        <f>Assumptions!E22</f>
        <v>3273</v>
      </c>
    </row>
    <row r="37" spans="2:10" ht="15" customHeight="1">
      <c r="B37" t="s">
        <v>40</v>
      </c>
      <c r="C37">
        <v>3386</v>
      </c>
      <c r="D37">
        <v>3475</v>
      </c>
      <c r="E37">
        <v>3485</v>
      </c>
      <c r="F37">
        <v>3498</v>
      </c>
      <c r="G37">
        <v>3528</v>
      </c>
      <c r="H37">
        <f>Assumptions!C23</f>
        <v>3546</v>
      </c>
      <c r="I37">
        <f>Assumptions!D23</f>
        <v>3564</v>
      </c>
      <c r="J37">
        <f>Assumptions!E23</f>
        <v>3582</v>
      </c>
    </row>
    <row r="39" spans="2:10" ht="15" customHeight="1">
      <c r="B39" t="s">
        <v>120</v>
      </c>
      <c r="C39" s="6">
        <f>C34/C36</f>
        <v>1.866846907739101</v>
      </c>
      <c r="D39" s="6">
        <f>D34/D36</f>
        <v>4.0201277955271566</v>
      </c>
      <c r="E39" s="6">
        <f>E34/E36</f>
        <v>4.7255828607435415</v>
      </c>
      <c r="F39" s="6">
        <f>F34/F36</f>
        <v>2.2302158273381294</v>
      </c>
      <c r="G39" s="6">
        <f>G34/G36</f>
        <v>1.1764341085271317</v>
      </c>
      <c r="H39" s="6">
        <f>H34/H36</f>
        <v>1.386788701095341</v>
      </c>
      <c r="I39" s="6">
        <f>I34/I36</f>
        <v>1.7824818465980612</v>
      </c>
      <c r="J39" s="6">
        <f>J34/J36</f>
        <v>2.3352629362548538</v>
      </c>
    </row>
    <row r="40" spans="2:10" ht="15" customHeight="1">
      <c r="B40" t="s">
        <v>121</v>
      </c>
      <c r="C40" s="6">
        <f>C34/C37</f>
        <v>1.631423508564678</v>
      </c>
      <c r="D40" s="6">
        <f>D34/D37</f>
        <v>3.6210071942446045</v>
      </c>
      <c r="E40" s="6">
        <f>E34/E37</f>
        <v>4.303873744619799</v>
      </c>
      <c r="F40" s="6">
        <f>F34/F37</f>
        <v>2.0383076043453401</v>
      </c>
      <c r="G40" s="6">
        <f>G34/G37</f>
        <v>1.0753968253968254</v>
      </c>
      <c r="H40" s="6">
        <f>H34/H37</f>
        <v>1.2675076650451214</v>
      </c>
      <c r="I40" s="6">
        <f>I34/I37</f>
        <v>1.6289403407322909</v>
      </c>
      <c r="J40" s="6">
        <f>J34/J37</f>
        <v>2.1338122809497868</v>
      </c>
    </row>
    <row r="41" spans="2:10" ht="15" customHeight="1">
      <c r="B41" t="s">
        <v>122</v>
      </c>
      <c r="C41" s="7">
        <f>C56+C57</f>
        <v>4983</v>
      </c>
      <c r="D41" s="7">
        <f>D56+D57</f>
        <v>7561</v>
      </c>
      <c r="E41" s="7">
        <f>E56+E57</f>
        <v>4357</v>
      </c>
      <c r="F41" s="7">
        <f>F56+F57</f>
        <v>3581</v>
      </c>
      <c r="G41" s="7">
        <f>G56+G57</f>
        <v>6220</v>
      </c>
      <c r="H41" s="7">
        <f>H56+H57</f>
        <v>3486.2496302500022</v>
      </c>
      <c r="I41" s="7">
        <f>I56+I57</f>
        <v>9415.2824593698842</v>
      </c>
      <c r="J41" s="7">
        <f>J56+J57</f>
        <v>12226.785636762139</v>
      </c>
    </row>
    <row r="42" spans="2:10" ht="15" customHeight="1">
      <c r="B42" s="1" t="s">
        <v>123</v>
      </c>
    </row>
    <row r="43" spans="2:10" ht="15" customHeight="1">
      <c r="B43" t="s">
        <v>124</v>
      </c>
      <c r="D43" s="2">
        <f>(D5-C5)/C5</f>
        <v>0.51351652639206291</v>
      </c>
      <c r="E43" s="2">
        <f>(E5-D5)/D5</f>
        <v>0.18795266504627925</v>
      </c>
      <c r="F43" s="2">
        <f>(F5-E5)/E5</f>
        <v>9.4757835346635944E-3</v>
      </c>
      <c r="G43" s="2">
        <f>(G5-F5)/F5</f>
        <v>-2.9306991503736307E-2</v>
      </c>
      <c r="H43" s="2">
        <f>(H5-G5)/G5</f>
        <v>-5.0000000000000058E-2</v>
      </c>
      <c r="I43" s="2">
        <f>(I5-H5)/H5</f>
        <v>5.0000000000000017E-2</v>
      </c>
      <c r="J43" s="2">
        <f>(J5-I5)/I5</f>
        <v>8.0000000000000029E-2</v>
      </c>
    </row>
    <row r="44" spans="2:10" ht="15" customHeight="1">
      <c r="B44" t="s">
        <v>18</v>
      </c>
      <c r="C44" s="2">
        <f>C11</f>
        <v>0.25279155751258753</v>
      </c>
      <c r="D44" s="2">
        <f>D11</f>
        <v>0.25598438535759005</v>
      </c>
      <c r="E44" s="2">
        <f>E11</f>
        <v>0.18248891736331416</v>
      </c>
      <c r="F44" s="2">
        <f>F11</f>
        <v>0.17862626676220697</v>
      </c>
      <c r="G44" s="2">
        <f>G11</f>
        <v>0.18026511436616155</v>
      </c>
      <c r="H44" s="2">
        <f>H11</f>
        <v>0.185</v>
      </c>
      <c r="I44" s="2">
        <f>I11</f>
        <v>0.19500000000000001</v>
      </c>
      <c r="J44" s="2">
        <f>J11</f>
        <v>0.20499999999999999</v>
      </c>
    </row>
    <row r="45" spans="2:10" ht="15" customHeight="1">
      <c r="B45" t="s">
        <v>107</v>
      </c>
      <c r="C45" s="2">
        <f>C20</f>
        <v>0.12119354179440016</v>
      </c>
      <c r="D45" s="2">
        <f>D20</f>
        <v>0.16807836782794433</v>
      </c>
      <c r="E45" s="2">
        <f>E20</f>
        <v>9.1874799789197395E-2</v>
      </c>
      <c r="F45" s="2">
        <f>F20</f>
        <v>7.8401064592076977E-2</v>
      </c>
      <c r="G45" s="2">
        <f>G20</f>
        <v>4.5925738450019508E-2</v>
      </c>
      <c r="H45" s="2">
        <f>H20</f>
        <v>5.3000000000000005E-2</v>
      </c>
      <c r="I45" s="2">
        <f>I20</f>
        <v>6.7000000000000115E-2</v>
      </c>
      <c r="J45" s="2">
        <f>J20</f>
        <v>8.1999999999999976E-2</v>
      </c>
    </row>
    <row r="46" spans="2:10" ht="15" customHeight="1">
      <c r="B46" t="s">
        <v>125</v>
      </c>
      <c r="C46" s="2">
        <f>C32/C5</f>
        <v>0.10253980640246735</v>
      </c>
      <c r="D46" s="2">
        <f>D32/D5</f>
        <v>0.15413321548697553</v>
      </c>
      <c r="E46" s="2">
        <f>E32/E5</f>
        <v>0.15497091130790613</v>
      </c>
      <c r="F46" s="2">
        <f>F32/F5</f>
        <v>7.258675401781145E-2</v>
      </c>
      <c r="G46" s="2">
        <f>G32/G5</f>
        <v>4.0009701878157063E-2</v>
      </c>
      <c r="H46" s="2">
        <f>H32/H5</f>
        <v>4.9892321143822582E-2</v>
      </c>
      <c r="I46" s="2">
        <f>I32/I5</f>
        <v>6.1375912012305169E-2</v>
      </c>
      <c r="J46" s="2">
        <f>J32/J5</f>
        <v>7.4819210439230691E-2</v>
      </c>
    </row>
    <row r="47" spans="2:10" ht="15" customHeight="1">
      <c r="B47" t="s">
        <v>126</v>
      </c>
      <c r="C47" s="2">
        <f>C41/C5</f>
        <v>9.258123850398528E-2</v>
      </c>
      <c r="D47" s="2">
        <f>D41/D5</f>
        <v>9.281628243843755E-2</v>
      </c>
      <c r="E47" s="2">
        <f>E41/E5</f>
        <v>4.5022888615626262E-2</v>
      </c>
      <c r="F47" s="2">
        <f>F41/F5</f>
        <v>3.665677141979732E-2</v>
      </c>
      <c r="G47" s="2">
        <f>G41/G5</f>
        <v>6.5593132757547953E-2</v>
      </c>
      <c r="H47" s="2">
        <f>H41/H5</f>
        <v>3.8699278189700606E-2</v>
      </c>
      <c r="I47" s="2">
        <f>I41/I5</f>
        <v>9.9537891724046687E-2</v>
      </c>
      <c r="J47" s="2">
        <f>J41/J5</f>
        <v>0.1196860755960133</v>
      </c>
    </row>
    <row r="48" spans="2:10" ht="15" customHeight="1">
      <c r="B48" s="1" t="s">
        <v>127</v>
      </c>
    </row>
    <row r="49" spans="2:10" ht="15" customHeight="1">
      <c r="B49" t="s">
        <v>128</v>
      </c>
      <c r="C49">
        <f>C19+C51</f>
        <v>9434</v>
      </c>
      <c r="D49">
        <f>D19+D51</f>
        <v>17235</v>
      </c>
      <c r="E49">
        <f>E19+E51</f>
        <v>13558</v>
      </c>
      <c r="F49">
        <f>F19+F51</f>
        <v>13027</v>
      </c>
      <c r="G49">
        <f>G19+G51</f>
        <v>10503</v>
      </c>
      <c r="H49" s="9">
        <f>H19+H51</f>
        <v>11229.939450000002</v>
      </c>
      <c r="I49" s="9">
        <f>I19+I51</f>
        <v>13115.695477500012</v>
      </c>
      <c r="J49" s="9">
        <f>J19+J51</f>
        <v>15493.962922199999</v>
      </c>
    </row>
    <row r="50" spans="2:10" ht="15" customHeight="1">
      <c r="B50" t="s">
        <v>129</v>
      </c>
      <c r="C50" s="2">
        <f>C49/C5</f>
        <v>0.17527822678037269</v>
      </c>
      <c r="D50" s="2">
        <f>D49/D5</f>
        <v>0.21157103925756796</v>
      </c>
      <c r="E50" s="2">
        <f>E49/E5</f>
        <v>0.14010106124642205</v>
      </c>
      <c r="F50" s="2">
        <f>F49/F5</f>
        <v>0.13335039410379773</v>
      </c>
      <c r="G50" s="2">
        <f>G49/G5</f>
        <v>0.11075959378657978</v>
      </c>
      <c r="H50" s="2">
        <f>H49/H5</f>
        <v>0.12465847168777716</v>
      </c>
      <c r="I50" s="2">
        <f>I49/I5</f>
        <v>0.13865847168777726</v>
      </c>
      <c r="J50" s="2">
        <f>J49/J5</f>
        <v>0.15166795858533888</v>
      </c>
    </row>
    <row r="51" spans="2:10" ht="15" customHeight="1">
      <c r="B51" t="s">
        <v>130</v>
      </c>
      <c r="C51">
        <v>2911</v>
      </c>
      <c r="D51">
        <v>3543</v>
      </c>
      <c r="E51">
        <v>4667</v>
      </c>
      <c r="F51">
        <v>5368</v>
      </c>
      <c r="G51">
        <v>6148</v>
      </c>
      <c r="H51" s="9">
        <f>G51*(1+Assumptions!C20)</f>
        <v>6455.4000000000005</v>
      </c>
      <c r="I51" s="9">
        <f>H51*(1+Assumptions!D20)</f>
        <v>6778.170000000001</v>
      </c>
      <c r="J51" s="9">
        <f>I51*(1+Assumptions!E20)</f>
        <v>7117.0785000000014</v>
      </c>
    </row>
    <row r="52" spans="2:10" ht="15" customHeight="1">
      <c r="B52" t="s">
        <v>131</v>
      </c>
      <c r="C52" s="2">
        <f>-(C29/C28)</f>
        <v>0.11020022071574964</v>
      </c>
      <c r="D52" s="2">
        <f>-(D29/D28)</f>
        <v>8.2513302718857054E-2</v>
      </c>
      <c r="E52" s="2">
        <f>-(E29/E28)</f>
        <v>-0.50145392559911761</v>
      </c>
      <c r="F52" s="2">
        <f>-(F29/F28)</f>
        <v>0.20433815350389323</v>
      </c>
      <c r="G52" s="2">
        <f>-(G29/G28)</f>
        <v>0.26960970064418338</v>
      </c>
      <c r="H52" s="2">
        <f>-(H29/H28)</f>
        <v>0.255</v>
      </c>
      <c r="I52" s="2">
        <f>-(I29/I28)</f>
        <v>0.255</v>
      </c>
      <c r="J52" s="2">
        <f>-(J29/J28)</f>
        <v>0.255</v>
      </c>
    </row>
    <row r="56" spans="2:10" ht="15" customHeight="1">
      <c r="B56" t="s">
        <v>132</v>
      </c>
      <c r="C56" s="7">
        <v>11497</v>
      </c>
      <c r="D56">
        <v>14724</v>
      </c>
      <c r="E56">
        <v>13256</v>
      </c>
      <c r="F56">
        <v>14923</v>
      </c>
      <c r="G56">
        <v>14747</v>
      </c>
      <c r="H56" s="9">
        <f>'Cash Flow'!H14</f>
        <v>11593.958130250001</v>
      </c>
      <c r="I56" s="9">
        <f>'Cash Flow'!I14</f>
        <v>17455.426721869884</v>
      </c>
      <c r="J56" s="9">
        <f>'Cash Flow'!J14</f>
        <v>20603.67005896214</v>
      </c>
    </row>
    <row r="57" spans="2:10" ht="15" customHeight="1">
      <c r="B57" t="s">
        <v>133</v>
      </c>
      <c r="C57">
        <v>-6514</v>
      </c>
      <c r="D57">
        <v>-7163</v>
      </c>
      <c r="E57">
        <v>-8899</v>
      </c>
      <c r="F57">
        <v>-11342</v>
      </c>
      <c r="G57">
        <v>-8527</v>
      </c>
      <c r="H57">
        <f>-H5*Assumptions!C21</f>
        <v>-8107.7084999999988</v>
      </c>
      <c r="I57">
        <f>-I5*Assumptions!D21</f>
        <v>-8040.1442625</v>
      </c>
      <c r="J57">
        <f>-J5*Assumptions!E21</f>
        <v>-8376.8844222000007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67"/>
  <sheetViews>
    <sheetView topLeftCell="I1" zoomScaleNormal="100" workbookViewId="0">
      <selection activeCell="L18" sqref="L18"/>
    </sheetView>
  </sheetViews>
  <sheetFormatPr defaultColWidth="8.7109375" defaultRowHeight="15"/>
  <cols>
    <col min="2" max="2" width="32.28515625" customWidth="1"/>
    <col min="3" max="4" width="6.7109375" customWidth="1"/>
    <col min="5" max="9" width="7.7109375" customWidth="1"/>
    <col min="10" max="10" width="8.140625" customWidth="1"/>
  </cols>
  <sheetData>
    <row r="3" spans="2:10" ht="15" customHeight="1">
      <c r="C3" t="s">
        <v>134</v>
      </c>
      <c r="D3" t="s">
        <v>135</v>
      </c>
      <c r="E3" t="s">
        <v>136</v>
      </c>
      <c r="F3" t="s">
        <v>137</v>
      </c>
      <c r="G3" t="s">
        <v>138</v>
      </c>
      <c r="H3" t="s">
        <v>2</v>
      </c>
      <c r="I3" t="s">
        <v>3</v>
      </c>
      <c r="J3" t="s">
        <v>4</v>
      </c>
    </row>
    <row r="5" spans="2:10" s="1" customFormat="1" ht="15" customHeight="1">
      <c r="B5" s="1" t="s">
        <v>139</v>
      </c>
    </row>
    <row r="6" spans="2:10" ht="15" customHeight="1">
      <c r="B6" s="1" t="s">
        <v>140</v>
      </c>
    </row>
    <row r="7" spans="2:10" s="1" customFormat="1" ht="15" customHeight="1">
      <c r="B7" s="1" t="s">
        <v>141</v>
      </c>
      <c r="C7" s="1">
        <v>17707</v>
      </c>
      <c r="D7" s="1">
        <v>22185</v>
      </c>
      <c r="E7" s="1">
        <v>29094</v>
      </c>
      <c r="F7" s="1">
        <v>36563</v>
      </c>
      <c r="G7" s="1">
        <v>44059</v>
      </c>
      <c r="H7" s="8">
        <f>G7+'Cash Flow'!H29</f>
        <v>48659.109630250001</v>
      </c>
      <c r="I7" s="8">
        <f>H7+'Cash Flow'!I29</f>
        <v>59284.230689619886</v>
      </c>
      <c r="J7" s="8">
        <f>I7+'Cash Flow'!J29</f>
        <v>72732.953312382029</v>
      </c>
    </row>
    <row r="8" spans="2:10" ht="15" customHeight="1">
      <c r="B8" t="s">
        <v>142</v>
      </c>
      <c r="C8">
        <v>1986</v>
      </c>
      <c r="D8">
        <v>3116</v>
      </c>
      <c r="E8">
        <v>3319</v>
      </c>
      <c r="F8">
        <v>4255</v>
      </c>
      <c r="G8">
        <v>4598</v>
      </c>
      <c r="H8" s="9">
        <f>(H60/365)*'Income Statement'!H5</f>
        <v>4195.7700000000004</v>
      </c>
      <c r="I8" s="9">
        <f>(I60/365)*'Income Statement'!I5</f>
        <v>4405.5585000000001</v>
      </c>
      <c r="J8" s="9">
        <f>(J60/365)*'Income Statement'!J5</f>
        <v>4478.1206400000001</v>
      </c>
    </row>
    <row r="9" spans="2:10" ht="15" customHeight="1">
      <c r="B9" t="s">
        <v>143</v>
      </c>
      <c r="C9">
        <v>0</v>
      </c>
      <c r="D9">
        <v>0</v>
      </c>
      <c r="E9">
        <v>378</v>
      </c>
      <c r="F9">
        <v>315</v>
      </c>
      <c r="G9">
        <v>108</v>
      </c>
      <c r="H9" s="9">
        <v>108</v>
      </c>
      <c r="I9" s="9">
        <v>108</v>
      </c>
      <c r="J9" s="9">
        <v>108</v>
      </c>
    </row>
    <row r="10" spans="2:10" s="1" customFormat="1" ht="15" customHeight="1">
      <c r="B10" s="1" t="s">
        <v>144</v>
      </c>
      <c r="C10" s="1">
        <f>C8+C9</f>
        <v>1986</v>
      </c>
      <c r="D10" s="1">
        <f>D8+D9</f>
        <v>3116</v>
      </c>
      <c r="E10" s="1">
        <f>E8+E9</f>
        <v>3697</v>
      </c>
      <c r="F10" s="1">
        <f>F8+F9</f>
        <v>4570</v>
      </c>
      <c r="G10" s="1">
        <f>G8+G9</f>
        <v>4706</v>
      </c>
      <c r="H10" s="8">
        <f>H8+H9</f>
        <v>4303.7700000000004</v>
      </c>
      <c r="I10" s="8">
        <f>I8+I9</f>
        <v>4513.5585000000001</v>
      </c>
      <c r="J10" s="8">
        <f>J8+J9</f>
        <v>4586.1206400000001</v>
      </c>
    </row>
    <row r="11" spans="2:10" s="1" customFormat="1" ht="15" customHeight="1">
      <c r="B11" s="1" t="s">
        <v>145</v>
      </c>
      <c r="C11" s="1">
        <v>5757</v>
      </c>
      <c r="D11" s="1">
        <v>12839</v>
      </c>
      <c r="E11" s="1">
        <v>13626</v>
      </c>
      <c r="F11" s="1">
        <v>12017</v>
      </c>
      <c r="G11" s="1">
        <v>12392</v>
      </c>
      <c r="H11" s="9">
        <f>(Assumptions!C54/365)*(-'Income Statement'!H8)</f>
        <v>11465.55855</v>
      </c>
      <c r="I11" s="9">
        <f>(Assumptions!D54/365)*(-'Income Statement'!I8)</f>
        <v>11473.888387499997</v>
      </c>
      <c r="J11" s="9">
        <f>(Assumptions!E54/365)*(-'Income Statement'!J8)</f>
        <v>11792.8508229</v>
      </c>
    </row>
    <row r="12" spans="2:10" ht="15" customHeight="1">
      <c r="B12" t="s">
        <v>146</v>
      </c>
      <c r="C12">
        <v>1305</v>
      </c>
      <c r="D12">
        <v>2483</v>
      </c>
      <c r="E12">
        <v>2656</v>
      </c>
      <c r="F12">
        <v>4716</v>
      </c>
      <c r="G12">
        <v>7096</v>
      </c>
      <c r="H12" s="9">
        <f>'Income Statement'!H5*Assumptions!C27</f>
        <v>6756.423749999999</v>
      </c>
      <c r="I12" s="9">
        <f>'Income Statement'!I5*Assumptions!D27</f>
        <v>6905.0650724999996</v>
      </c>
      <c r="J12" s="9">
        <f>'Income Statement'!J5*Assumptions!E27</f>
        <v>7150.9988970000004</v>
      </c>
    </row>
    <row r="13" spans="2:10" ht="15" customHeight="1">
      <c r="B13" t="s">
        <v>147</v>
      </c>
      <c r="C13">
        <v>345</v>
      </c>
      <c r="D13">
        <v>294</v>
      </c>
      <c r="E13">
        <v>543</v>
      </c>
      <c r="F13">
        <v>494</v>
      </c>
      <c r="G13">
        <v>389</v>
      </c>
      <c r="H13" s="9">
        <v>389</v>
      </c>
      <c r="I13" s="9">
        <v>389</v>
      </c>
      <c r="J13" s="9">
        <v>389</v>
      </c>
    </row>
    <row r="14" spans="2:10" s="1" customFormat="1" ht="15" customHeight="1">
      <c r="B14" s="1" t="s">
        <v>148</v>
      </c>
      <c r="C14" s="1">
        <f>C7+C10+C11+C12+C13</f>
        <v>27100</v>
      </c>
      <c r="D14" s="1">
        <f>D7+D10+D11+D12+D13</f>
        <v>40917</v>
      </c>
      <c r="E14" s="1">
        <f>E7+E10+E11+E12+E13</f>
        <v>49616</v>
      </c>
      <c r="F14" s="1">
        <f>F7+F10+F11+F12+F13</f>
        <v>58360</v>
      </c>
      <c r="G14" s="1">
        <f>G7+G10+G11+G12+G13</f>
        <v>68642</v>
      </c>
      <c r="H14" s="8">
        <f>H7+H10+H11+H12+H13</f>
        <v>71573.861930250001</v>
      </c>
      <c r="I14" s="8">
        <f t="shared" ref="I14:J14" si="0">I7+I10+I11+I12+I13</f>
        <v>82565.74264961989</v>
      </c>
      <c r="J14" s="8">
        <f t="shared" si="0"/>
        <v>96651.923672282021</v>
      </c>
    </row>
    <row r="16" spans="2:10" ht="15" customHeight="1">
      <c r="B16" s="1" t="s">
        <v>149</v>
      </c>
    </row>
    <row r="17" spans="2:10" ht="15" customHeight="1">
      <c r="B17" t="s">
        <v>150</v>
      </c>
      <c r="C17">
        <v>31176</v>
      </c>
      <c r="D17">
        <v>36635</v>
      </c>
      <c r="E17">
        <v>45123</v>
      </c>
      <c r="F17">
        <v>51501</v>
      </c>
      <c r="G17">
        <v>56186</v>
      </c>
      <c r="H17" s="9">
        <f>G17-'Cash Flow'!H16-'Cash Flow'!H5</f>
        <v>57838.308499999999</v>
      </c>
      <c r="I17" s="9">
        <f>H17-'Cash Flow'!I16-'Cash Flow'!I5</f>
        <v>59100.282762500006</v>
      </c>
      <c r="J17" s="9">
        <f>I17-'Cash Flow'!J16-'Cash Flow'!J5</f>
        <v>60360.088684700007</v>
      </c>
    </row>
    <row r="18" spans="2:10" s="1" customFormat="1" ht="15" customHeight="1">
      <c r="B18" s="1" t="s">
        <v>151</v>
      </c>
      <c r="C18" s="1">
        <v>200</v>
      </c>
      <c r="D18" s="1">
        <v>194</v>
      </c>
      <c r="E18" s="1">
        <v>253</v>
      </c>
      <c r="F18" s="1">
        <v>0</v>
      </c>
      <c r="G18" s="1">
        <v>0</v>
      </c>
      <c r="H18" s="9">
        <v>0</v>
      </c>
      <c r="I18" s="9">
        <v>0</v>
      </c>
      <c r="J18" s="9">
        <v>0</v>
      </c>
    </row>
    <row r="19" spans="2:10" ht="15" customHeight="1">
      <c r="B19" t="s">
        <v>152</v>
      </c>
      <c r="C19">
        <v>257</v>
      </c>
      <c r="D19">
        <v>215</v>
      </c>
      <c r="E19">
        <v>178</v>
      </c>
      <c r="F19">
        <v>0</v>
      </c>
      <c r="G19">
        <v>0</v>
      </c>
      <c r="H19" s="9">
        <v>0</v>
      </c>
      <c r="I19" s="9">
        <v>0</v>
      </c>
      <c r="J19" s="9">
        <v>0</v>
      </c>
    </row>
    <row r="20" spans="2:10" ht="15" customHeight="1">
      <c r="B20" t="s">
        <v>153</v>
      </c>
      <c r="C20">
        <v>303</v>
      </c>
      <c r="D20">
        <v>1626</v>
      </c>
      <c r="E20">
        <v>2125</v>
      </c>
      <c r="F20">
        <v>1767</v>
      </c>
      <c r="G20">
        <v>1395</v>
      </c>
      <c r="H20" s="9">
        <f>'Income Statement'!H5*Assumptions!C33</f>
        <v>1351.2847499999998</v>
      </c>
      <c r="I20" s="9">
        <f>'Income Statement'!I5*Assumptions!D33</f>
        <v>1418.8489874999998</v>
      </c>
      <c r="J20" s="9">
        <f>'Income Statement'!J5*Assumptions!E33</f>
        <v>1430.1997793999999</v>
      </c>
    </row>
    <row r="21" spans="2:10" ht="15" customHeight="1">
      <c r="B21" t="s">
        <v>154</v>
      </c>
      <c r="C21">
        <v>0</v>
      </c>
      <c r="D21">
        <v>328</v>
      </c>
      <c r="E21">
        <v>6733</v>
      </c>
      <c r="F21">
        <v>6524</v>
      </c>
      <c r="G21">
        <v>6925</v>
      </c>
      <c r="H21" s="9">
        <v>6925</v>
      </c>
      <c r="I21" s="9">
        <v>6925</v>
      </c>
      <c r="J21" s="9">
        <v>6925</v>
      </c>
    </row>
    <row r="22" spans="2:10" ht="15" customHeight="1">
      <c r="B22" t="s">
        <v>155</v>
      </c>
      <c r="C22">
        <v>3095</v>
      </c>
      <c r="D22">
        <v>2423</v>
      </c>
      <c r="E22">
        <v>2590</v>
      </c>
      <c r="F22">
        <v>3918</v>
      </c>
      <c r="G22">
        <v>4658</v>
      </c>
      <c r="H22" s="9">
        <f>'Income Statement'!H5*Assumptions!C32</f>
        <v>4414.1968500000003</v>
      </c>
      <c r="I22" s="9">
        <f>'Income Statement'!I5*Assumptions!D32</f>
        <v>4634.9066924999997</v>
      </c>
      <c r="J22" s="9">
        <f>'Income Statement'!J5*Assumptions!E32</f>
        <v>5005.6992278999996</v>
      </c>
    </row>
    <row r="23" spans="2:10" s="1" customFormat="1" ht="15" customHeight="1">
      <c r="B23" s="1" t="s">
        <v>156</v>
      </c>
      <c r="C23" s="1">
        <f>SUM(C17:C22)+C14</f>
        <v>62131</v>
      </c>
      <c r="D23" s="1">
        <f>SUM(D17:D22)+D14</f>
        <v>82338</v>
      </c>
      <c r="E23" s="1">
        <f>SUM(E17:E22)+E14</f>
        <v>106618</v>
      </c>
      <c r="F23" s="1">
        <f>SUM(F17:F22)+F14</f>
        <v>122070</v>
      </c>
      <c r="G23" s="1">
        <f>SUM(G17:G22)+G14</f>
        <v>137806</v>
      </c>
      <c r="H23" s="1">
        <f>SUM(H17:H22)+H14</f>
        <v>142102.65203025</v>
      </c>
      <c r="I23" s="8">
        <f>SUM(I17:I22)+I14</f>
        <v>154644.78109211987</v>
      </c>
      <c r="J23" s="8">
        <f>SUM(J17:J22)+J14</f>
        <v>170372.91136428202</v>
      </c>
    </row>
    <row r="25" spans="2:10" ht="15" customHeight="1">
      <c r="B25" t="s">
        <v>157</v>
      </c>
    </row>
    <row r="26" spans="2:10" s="1" customFormat="1" ht="15" customHeight="1">
      <c r="B26" s="1" t="s">
        <v>158</v>
      </c>
    </row>
    <row r="27" spans="2:10" ht="15" customHeight="1">
      <c r="B27" t="s">
        <v>159</v>
      </c>
      <c r="C27">
        <v>10025</v>
      </c>
      <c r="D27">
        <v>15255</v>
      </c>
      <c r="E27">
        <v>14431</v>
      </c>
      <c r="F27">
        <v>12474</v>
      </c>
      <c r="G27">
        <v>13371</v>
      </c>
      <c r="H27" s="9">
        <f>(Assumptions!C53/365)*(-'Income Statement'!H8)</f>
        <v>12471.309299999999</v>
      </c>
      <c r="I27" s="9">
        <f>(Assumptions!D53/365)*(-'Income Statement'!I8)</f>
        <v>13142.817607499999</v>
      </c>
      <c r="J27" s="9">
        <f>(Assumptions!E53/365)*(-'Income Statement'!J8)</f>
        <v>14240.423635200001</v>
      </c>
    </row>
    <row r="28" spans="2:10" ht="15" customHeight="1">
      <c r="B28" t="s">
        <v>160</v>
      </c>
      <c r="C28">
        <v>2951</v>
      </c>
      <c r="D28">
        <v>3773</v>
      </c>
      <c r="E28">
        <v>4046</v>
      </c>
      <c r="F28">
        <v>3785</v>
      </c>
      <c r="G28">
        <v>4484</v>
      </c>
      <c r="H28" s="9">
        <f>'Income Statement'!H5*Assumptions!C36</f>
        <v>4234.0255499999994</v>
      </c>
      <c r="I28" s="9">
        <f>'Income Statement'!I5*Assumptions!D36</f>
        <v>4445.7268274999997</v>
      </c>
      <c r="J28" s="9">
        <f>'Income Statement'!J5*Assumptions!E36</f>
        <v>4801.3849737</v>
      </c>
    </row>
    <row r="29" spans="2:10" ht="15" customHeight="1">
      <c r="B29" t="s">
        <v>161</v>
      </c>
      <c r="C29">
        <v>1088</v>
      </c>
      <c r="D29">
        <v>1016</v>
      </c>
      <c r="E29">
        <v>1975</v>
      </c>
      <c r="F29">
        <v>2343</v>
      </c>
      <c r="G29">
        <v>1569</v>
      </c>
      <c r="H29" s="9">
        <f>Assumptions!C43</f>
        <v>1569</v>
      </c>
      <c r="I29" s="9">
        <f>Assumptions!D43</f>
        <v>1500</v>
      </c>
      <c r="J29" s="9">
        <f>Assumptions!E43</f>
        <v>1400</v>
      </c>
    </row>
    <row r="30" spans="2:10" ht="15" customHeight="1">
      <c r="B30" t="s">
        <v>162</v>
      </c>
      <c r="C30">
        <v>869</v>
      </c>
      <c r="D30">
        <v>971</v>
      </c>
      <c r="E30">
        <v>1070</v>
      </c>
      <c r="F30">
        <v>920</v>
      </c>
      <c r="G30">
        <v>1025</v>
      </c>
      <c r="H30" s="9">
        <f>G30*102%</f>
        <v>1045.5</v>
      </c>
      <c r="I30" s="9">
        <f>H30*102%</f>
        <v>1066.4100000000001</v>
      </c>
      <c r="J30" s="9">
        <f>I30*102%</f>
        <v>1087.7382</v>
      </c>
    </row>
    <row r="31" spans="2:10" ht="15" customHeight="1">
      <c r="B31" t="s">
        <v>163</v>
      </c>
      <c r="C31">
        <v>1122</v>
      </c>
      <c r="D31">
        <v>1235</v>
      </c>
      <c r="E31">
        <v>1204</v>
      </c>
      <c r="F31">
        <v>1367</v>
      </c>
      <c r="G31">
        <v>1594</v>
      </c>
      <c r="H31" s="9">
        <f>'Income Statement'!H5*Assumptions!C38</f>
        <v>1531.45605</v>
      </c>
      <c r="I31" s="9">
        <f>'Income Statement'!I5*Assumptions!D38</f>
        <v>1608.0288525000001</v>
      </c>
      <c r="J31" s="9">
        <f>'Income Statement'!J5*Assumptions!E38</f>
        <v>1736.6711607000002</v>
      </c>
    </row>
    <row r="32" spans="2:10" s="1" customFormat="1" ht="15" customHeight="1">
      <c r="B32" s="1" t="s">
        <v>164</v>
      </c>
      <c r="C32" s="1">
        <v>1447</v>
      </c>
      <c r="D32" s="1">
        <v>1747</v>
      </c>
      <c r="E32" s="1">
        <v>2864</v>
      </c>
      <c r="F32" s="1">
        <v>3168</v>
      </c>
      <c r="G32" s="1">
        <v>3424</v>
      </c>
      <c r="H32" s="9">
        <f>'Income Statement'!H5*Assumptions!C37</f>
        <v>3243.0833999999995</v>
      </c>
      <c r="I32" s="9">
        <f>'Income Statement'!I5*Assumptions!D37</f>
        <v>3499.8275024999998</v>
      </c>
      <c r="J32" s="9">
        <f>'Income Statement'!J5*Assumptions!E37</f>
        <v>3881.9708298</v>
      </c>
    </row>
    <row r="33" spans="2:10" ht="15" customHeight="1">
      <c r="B33" t="s">
        <v>165</v>
      </c>
      <c r="C33">
        <v>2203</v>
      </c>
      <c r="D33">
        <v>2712</v>
      </c>
      <c r="E33">
        <v>3158</v>
      </c>
      <c r="F33">
        <v>4764</v>
      </c>
      <c r="G33">
        <v>6247</v>
      </c>
      <c r="H33" s="9">
        <f>'Income Statement'!H5*Assumptions!C39</f>
        <v>5945.6529</v>
      </c>
      <c r="I33" s="9">
        <f>'Income Statement'!I5*Assumptions!D39</f>
        <v>6242.9355450000003</v>
      </c>
      <c r="J33" s="9">
        <f>'Income Statement'!J5*Assumptions!E39</f>
        <v>6640.2132615</v>
      </c>
    </row>
    <row r="34" spans="2:10" s="1" customFormat="1" ht="15" customHeight="1">
      <c r="B34" s="1" t="s">
        <v>166</v>
      </c>
      <c r="C34" s="1">
        <f>SUM(C27:C33)</f>
        <v>19705</v>
      </c>
      <c r="D34" s="1">
        <f>SUM(D27:D33)</f>
        <v>26709</v>
      </c>
      <c r="E34" s="1">
        <f>SUM(E27:E33)</f>
        <v>28748</v>
      </c>
      <c r="F34" s="1">
        <f>SUM(F27:F33)</f>
        <v>28821</v>
      </c>
      <c r="G34" s="1">
        <f>SUM(G27:G33)</f>
        <v>31714</v>
      </c>
      <c r="H34" s="8">
        <f>SUM(H27:H33)</f>
        <v>30040.0272</v>
      </c>
      <c r="I34" s="8">
        <f>SUM(I27:I33)</f>
        <v>31505.746335</v>
      </c>
      <c r="J34" s="8">
        <f>SUM(J27:J33)</f>
        <v>33788.4020609</v>
      </c>
    </row>
    <row r="36" spans="2:10" ht="15" customHeight="1">
      <c r="B36" s="1" t="s">
        <v>167</v>
      </c>
    </row>
    <row r="37" spans="2:10" s="1" customFormat="1" ht="15" customHeight="1">
      <c r="B37" s="1" t="s">
        <v>168</v>
      </c>
      <c r="C37" s="1">
        <v>4254</v>
      </c>
      <c r="D37" s="1">
        <v>1029</v>
      </c>
      <c r="E37" s="1">
        <v>2682</v>
      </c>
      <c r="F37" s="1">
        <v>5535</v>
      </c>
      <c r="G37" s="1">
        <v>6584</v>
      </c>
      <c r="H37" s="1">
        <f>Assumptions!C42</f>
        <v>6500</v>
      </c>
      <c r="I37" s="1">
        <f>Assumptions!D42</f>
        <v>6200</v>
      </c>
      <c r="J37" s="1">
        <f>Assumptions!E42</f>
        <v>5900</v>
      </c>
    </row>
    <row r="38" spans="2:10" ht="15" customHeight="1">
      <c r="B38" t="s">
        <v>169</v>
      </c>
      <c r="C38">
        <v>2662</v>
      </c>
      <c r="D38">
        <v>2732</v>
      </c>
      <c r="E38">
        <v>3846</v>
      </c>
      <c r="F38">
        <v>4825</v>
      </c>
      <c r="G38">
        <v>5541</v>
      </c>
      <c r="H38">
        <f>Assumptions!C44</f>
        <v>5707</v>
      </c>
      <c r="I38">
        <f>Assumptions!D44</f>
        <v>5878</v>
      </c>
      <c r="J38">
        <f>Assumptions!E44</f>
        <v>6054</v>
      </c>
    </row>
    <row r="39" spans="2:10" s="1" customFormat="1" ht="15" customHeight="1">
      <c r="B39" s="1" t="s">
        <v>170</v>
      </c>
      <c r="C39" s="1">
        <v>2052</v>
      </c>
      <c r="D39" s="1">
        <v>2804</v>
      </c>
      <c r="E39" s="1">
        <v>3251</v>
      </c>
      <c r="F39" s="1">
        <v>3317</v>
      </c>
      <c r="G39" s="1">
        <v>3631</v>
      </c>
      <c r="H39" s="9">
        <f>'Income Statement'!H5*Assumptions!C45</f>
        <v>3423.2546999999995</v>
      </c>
      <c r="I39" s="9">
        <f>'Income Statement'!I5*Assumptions!D45</f>
        <v>3689.0073674999999</v>
      </c>
      <c r="J39" s="9">
        <f>'Income Statement'!J5*Assumptions!E45</f>
        <v>4086.2850840000001</v>
      </c>
    </row>
    <row r="40" spans="2:10" ht="15" customHeight="1">
      <c r="B40" t="s">
        <v>171</v>
      </c>
      <c r="C40">
        <v>24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2:10" ht="15" customHeight="1">
      <c r="B41" t="s">
        <v>172</v>
      </c>
      <c r="C41">
        <v>1851</v>
      </c>
      <c r="D41">
        <v>3166</v>
      </c>
      <c r="E41">
        <v>4482</v>
      </c>
      <c r="F41">
        <v>5892</v>
      </c>
      <c r="G41">
        <v>7471</v>
      </c>
      <c r="H41">
        <f>Assumptions!C46</f>
        <v>7845</v>
      </c>
      <c r="I41">
        <f>Assumptions!D46</f>
        <v>8237</v>
      </c>
      <c r="J41">
        <f>Assumptions!E46</f>
        <v>8649</v>
      </c>
    </row>
    <row r="42" spans="2:10" s="1" customFormat="1" ht="15" customHeight="1">
      <c r="B42" s="1" t="s">
        <v>173</v>
      </c>
      <c r="C42" s="1">
        <f>SUM(C37:C41)+C34</f>
        <v>30548</v>
      </c>
      <c r="D42" s="1">
        <f>SUM(D37:D41)+D34</f>
        <v>36440</v>
      </c>
      <c r="E42" s="1">
        <f>SUM(E37:E41)+E34</f>
        <v>43009</v>
      </c>
      <c r="F42" s="1">
        <f>SUM(F37:F41)+F34</f>
        <v>48390</v>
      </c>
      <c r="G42" s="1">
        <f>SUM(G37:G41)+G34</f>
        <v>54941</v>
      </c>
      <c r="H42" s="8">
        <f>SUM(H37:H41)+H34</f>
        <v>53515.281900000002</v>
      </c>
      <c r="I42" s="8">
        <f>SUM(I37:I41)+I34</f>
        <v>55509.753702500006</v>
      </c>
      <c r="J42" s="8">
        <f>SUM(J37:J41)+J34</f>
        <v>58477.687144900003</v>
      </c>
    </row>
    <row r="44" spans="2:10" ht="15" customHeight="1">
      <c r="B44" s="1" t="s">
        <v>174</v>
      </c>
    </row>
    <row r="45" spans="2:10" ht="15" customHeight="1">
      <c r="B45" t="s">
        <v>175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</row>
    <row r="46" spans="2:10" ht="15" customHeight="1">
      <c r="B46" t="s">
        <v>176</v>
      </c>
      <c r="C46">
        <f>C23-C42-C45-C47-C48-C50</f>
        <v>29803</v>
      </c>
      <c r="D46">
        <f t="shared" ref="D46:J46" si="1">D23-D42-D45-D47-D48-D50</f>
        <v>32177</v>
      </c>
      <c r="E46">
        <f t="shared" si="1"/>
        <v>34892</v>
      </c>
      <c r="F46">
        <f t="shared" si="1"/>
        <v>38371</v>
      </c>
      <c r="G46">
        <f t="shared" si="1"/>
        <v>42770</v>
      </c>
      <c r="H46">
        <f t="shared" si="1"/>
        <v>44034.18795</v>
      </c>
      <c r="I46">
        <f t="shared" si="1"/>
        <v>48810.881834999986</v>
      </c>
      <c r="J46">
        <f t="shared" si="1"/>
        <v>53960.614074399993</v>
      </c>
    </row>
    <row r="47" spans="2:10" ht="15" customHeight="1">
      <c r="B47" t="s">
        <v>177</v>
      </c>
      <c r="C47">
        <v>329</v>
      </c>
      <c r="D47">
        <v>12885</v>
      </c>
      <c r="E47">
        <v>27882</v>
      </c>
      <c r="F47">
        <v>35209</v>
      </c>
      <c r="G47">
        <v>39003</v>
      </c>
      <c r="H47" s="9">
        <f>G47+'Cash Flow'!H4</f>
        <v>43497.58218025</v>
      </c>
      <c r="I47" s="9">
        <f>H47+'Cash Flow'!I4</f>
        <v>49303.125554619881</v>
      </c>
      <c r="J47" s="9">
        <f>I47+'Cash Flow'!J4</f>
        <v>56946.441144982018</v>
      </c>
    </row>
    <row r="48" spans="2:10" ht="15" customHeight="1">
      <c r="B48" t="s">
        <v>178</v>
      </c>
      <c r="C48">
        <v>54</v>
      </c>
      <c r="D48">
        <v>-361</v>
      </c>
      <c r="E48">
        <v>-143</v>
      </c>
      <c r="F48">
        <v>-670</v>
      </c>
      <c r="G48">
        <v>361</v>
      </c>
      <c r="H48">
        <v>361</v>
      </c>
      <c r="I48">
        <v>361</v>
      </c>
      <c r="J48">
        <v>361</v>
      </c>
    </row>
    <row r="49" spans="2:11" s="1" customFormat="1" ht="15" customHeight="1">
      <c r="B49" s="1" t="s">
        <v>179</v>
      </c>
      <c r="C49" s="1">
        <f>SUM(C45:C48)</f>
        <v>30189</v>
      </c>
      <c r="D49" s="1">
        <f>SUM(D45:D48)</f>
        <v>44704</v>
      </c>
      <c r="E49" s="1">
        <f>SUM(E45:E48)</f>
        <v>62634</v>
      </c>
      <c r="F49" s="1">
        <f>SUM(F45:F48)</f>
        <v>72913</v>
      </c>
      <c r="G49" s="1">
        <f>SUM(G45:G48)</f>
        <v>82137</v>
      </c>
      <c r="H49" s="8">
        <f>SUM(H45:H48)</f>
        <v>87895.770130249992</v>
      </c>
      <c r="I49" s="8">
        <f>SUM(I45:I48)</f>
        <v>98478.007389619859</v>
      </c>
      <c r="J49" s="8">
        <f>SUM(J45:J48)</f>
        <v>111271.05521938202</v>
      </c>
    </row>
    <row r="50" spans="2:11" ht="15" customHeight="1">
      <c r="B50" t="s">
        <v>116</v>
      </c>
      <c r="C50">
        <v>1394</v>
      </c>
      <c r="D50">
        <v>1194</v>
      </c>
      <c r="E50">
        <v>975</v>
      </c>
      <c r="F50">
        <v>767</v>
      </c>
      <c r="G50">
        <v>728</v>
      </c>
      <c r="H50">
        <f>G50*(1+Assumptions!C51)</f>
        <v>691.6</v>
      </c>
      <c r="I50">
        <f>H50*(1+Assumptions!D51)</f>
        <v>657.02</v>
      </c>
      <c r="J50">
        <f>I50*(1+Assumptions!E51)</f>
        <v>624.16899999999998</v>
      </c>
    </row>
    <row r="51" spans="2:11" s="1" customFormat="1" ht="15" customHeight="1">
      <c r="B51" s="1" t="s">
        <v>180</v>
      </c>
      <c r="C51" s="1">
        <f>C49+C50</f>
        <v>31583</v>
      </c>
      <c r="D51" s="1">
        <f>D49+D50</f>
        <v>45898</v>
      </c>
      <c r="E51" s="1">
        <f>E49+E50</f>
        <v>63609</v>
      </c>
      <c r="F51" s="1">
        <f>F49+F50</f>
        <v>73680</v>
      </c>
      <c r="G51" s="1">
        <f>G49+G50</f>
        <v>82865</v>
      </c>
      <c r="H51" s="8">
        <f>H49+H50</f>
        <v>88587.370130249998</v>
      </c>
      <c r="I51" s="8">
        <f>I49+I50</f>
        <v>99135.027389619863</v>
      </c>
      <c r="J51" s="8">
        <f>J49+J50</f>
        <v>111895.22421938201</v>
      </c>
    </row>
    <row r="52" spans="2:11" s="1" customFormat="1" ht="15" customHeight="1">
      <c r="B52" s="1" t="s">
        <v>181</v>
      </c>
      <c r="C52" s="1">
        <f>C51+C42</f>
        <v>62131</v>
      </c>
      <c r="D52" s="1">
        <f>D51+D42</f>
        <v>82338</v>
      </c>
      <c r="E52" s="1">
        <f>E51+E42</f>
        <v>106618</v>
      </c>
      <c r="F52" s="1">
        <f>F51+F42</f>
        <v>122070</v>
      </c>
      <c r="G52" s="1">
        <f>G51+G42</f>
        <v>137806</v>
      </c>
      <c r="H52" s="8">
        <f>H51+H42</f>
        <v>142102.65203025</v>
      </c>
      <c r="I52" s="8">
        <f>I51+I42</f>
        <v>154644.78109211987</v>
      </c>
      <c r="J52" s="8">
        <f>J51+J42</f>
        <v>170372.91136428202</v>
      </c>
    </row>
    <row r="54" spans="2:11" ht="15" customHeight="1">
      <c r="B54" s="1" t="s">
        <v>127</v>
      </c>
    </row>
    <row r="55" spans="2:11" ht="15" customHeight="1">
      <c r="B55" t="s">
        <v>182</v>
      </c>
      <c r="C55">
        <f>C29+C30+C37+C38</f>
        <v>8873</v>
      </c>
      <c r="D55">
        <f>D29+D30+D37+D38</f>
        <v>5748</v>
      </c>
      <c r="E55">
        <f>E29+E30+E37+E38</f>
        <v>9573</v>
      </c>
      <c r="F55">
        <f>F29+F30+F37+F38</f>
        <v>13623</v>
      </c>
      <c r="G55">
        <f>G29+G30+G37+G38</f>
        <v>14719</v>
      </c>
      <c r="H55" s="9">
        <f>H29+H30+H37+H38</f>
        <v>14821.5</v>
      </c>
      <c r="I55" s="9">
        <f>I29+I30+I37+I38</f>
        <v>14644.41</v>
      </c>
      <c r="J55" s="9">
        <f>J29+J30+J37+J38</f>
        <v>14441.7382</v>
      </c>
    </row>
    <row r="56" spans="2:11" ht="15" customHeight="1">
      <c r="B56" t="s">
        <v>183</v>
      </c>
      <c r="C56">
        <f>C7-C55</f>
        <v>8834</v>
      </c>
      <c r="D56">
        <f>D7-D55</f>
        <v>16437</v>
      </c>
      <c r="E56">
        <f>E7-E55</f>
        <v>19521</v>
      </c>
      <c r="F56">
        <f>F7-F55</f>
        <v>22940</v>
      </c>
      <c r="G56">
        <f>G7-G55</f>
        <v>29340</v>
      </c>
      <c r="H56" s="9">
        <f>H7-H55</f>
        <v>33837.609630250001</v>
      </c>
      <c r="I56" s="9">
        <f>I7-I55</f>
        <v>44639.820689619883</v>
      </c>
      <c r="J56" s="9">
        <f>J7-J55</f>
        <v>58291.215112382029</v>
      </c>
    </row>
    <row r="57" spans="2:11" ht="15" customHeight="1">
      <c r="B57" t="s">
        <v>184</v>
      </c>
      <c r="C57">
        <f>(C14-C7)-(C34-C29-C30)</f>
        <v>-8355</v>
      </c>
      <c r="D57">
        <f t="shared" ref="D57:J57" si="2">(D14-D7)-(D34-D29-D30)</f>
        <v>-5990</v>
      </c>
      <c r="E57">
        <f t="shared" si="2"/>
        <v>-5181</v>
      </c>
      <c r="F57">
        <f t="shared" si="2"/>
        <v>-3761</v>
      </c>
      <c r="G57">
        <f t="shared" si="2"/>
        <v>-4537</v>
      </c>
      <c r="H57">
        <f t="shared" si="2"/>
        <v>-4510.7749000000003</v>
      </c>
      <c r="I57">
        <f t="shared" si="2"/>
        <v>-5657.8243749999965</v>
      </c>
      <c r="J57">
        <f t="shared" si="2"/>
        <v>-7381.6935010000088</v>
      </c>
    </row>
    <row r="58" spans="2:11" ht="15" customHeight="1">
      <c r="B58" t="s">
        <v>185</v>
      </c>
      <c r="C58" s="6">
        <f>C49/C59</f>
        <v>9.7415295256534371</v>
      </c>
      <c r="D58" s="6">
        <f>D49/D59</f>
        <v>14.128950695322377</v>
      </c>
      <c r="E58" s="6">
        <f>E49/E59</f>
        <v>19.665306122448978</v>
      </c>
      <c r="F58" s="6">
        <f>F49/F59</f>
        <v>22.671952736318406</v>
      </c>
      <c r="G58" s="6">
        <f>G49/G59</f>
        <v>21.897360703812318</v>
      </c>
      <c r="H58" s="9">
        <f>H49/H59</f>
        <v>23.258186933178443</v>
      </c>
      <c r="I58" s="9">
        <f>I49/I59</f>
        <v>25.864380379882167</v>
      </c>
      <c r="J58" s="9">
        <f>J49/J59</f>
        <v>29.006810519713476</v>
      </c>
      <c r="K58" s="6"/>
    </row>
    <row r="59" spans="2:11" ht="15" customHeight="1">
      <c r="B59" t="s">
        <v>186</v>
      </c>
      <c r="C59">
        <v>3099</v>
      </c>
      <c r="D59">
        <v>3164</v>
      </c>
      <c r="E59">
        <v>3185</v>
      </c>
      <c r="F59">
        <v>3216</v>
      </c>
      <c r="G59">
        <v>3751</v>
      </c>
      <c r="H59" s="9">
        <f>G59*1.0075</f>
        <v>3779.1325000000002</v>
      </c>
      <c r="I59" s="9">
        <f>H59*1.0075</f>
        <v>3807.4759937500003</v>
      </c>
      <c r="J59" s="9">
        <f>I59*1.0075</f>
        <v>3836.0320637031255</v>
      </c>
    </row>
    <row r="60" spans="2:11" ht="15" customHeight="1">
      <c r="B60" t="s">
        <v>88</v>
      </c>
      <c r="C60" s="6">
        <f>(C8/'Income Statement'!C5)*365</f>
        <v>13.468034111810935</v>
      </c>
      <c r="D60" s="6">
        <f>(D8/'Income Statement'!D5)*365</f>
        <v>13.961601728413248</v>
      </c>
      <c r="E60" s="6">
        <f>(E8/'Income Statement'!E5)*365</f>
        <v>12.518316059231397</v>
      </c>
      <c r="F60" s="6">
        <f>(F8/'Income Statement'!F5)*365</f>
        <v>15.897993653393389</v>
      </c>
      <c r="G60" s="6">
        <f>(G8/'Income Statement'!G5)*365</f>
        <v>17.698229407236337</v>
      </c>
      <c r="H60">
        <f>Assumptions!C52</f>
        <v>17</v>
      </c>
      <c r="I60">
        <f>Assumptions!D52</f>
        <v>17</v>
      </c>
      <c r="J60">
        <f>Assumptions!E52</f>
        <v>16</v>
      </c>
    </row>
    <row r="61" spans="2:11" ht="15" customHeight="1">
      <c r="B61" t="s">
        <v>89</v>
      </c>
      <c r="C61" s="6">
        <f>-(C27/'Income Statement'!C8)*365</f>
        <v>90.984533903573123</v>
      </c>
      <c r="D61" s="6">
        <f>-(D27/'Income Statement'!D8)*365</f>
        <v>91.868781864079594</v>
      </c>
      <c r="E61" s="6">
        <f>-(E27/'Income Statement'!E8)*365</f>
        <v>66.579639250186446</v>
      </c>
      <c r="F61" s="6">
        <f>-(F27/'Income Statement'!F8)*365</f>
        <v>56.742397806580264</v>
      </c>
      <c r="G61" s="6">
        <f>-(G27/'Income Statement'!G8)*365</f>
        <v>62.784338697850337</v>
      </c>
      <c r="H61">
        <f>Assumptions!C53</f>
        <v>62</v>
      </c>
      <c r="I61">
        <f>Assumptions!D53</f>
        <v>63</v>
      </c>
      <c r="J61">
        <f>Assumptions!E53</f>
        <v>64</v>
      </c>
    </row>
    <row r="62" spans="2:11" ht="15" customHeight="1">
      <c r="B62" t="s">
        <v>91</v>
      </c>
      <c r="C62" s="6">
        <f>-(C11/'Income Statement'!C8)*365</f>
        <v>52.249173235199038</v>
      </c>
      <c r="D62" s="6">
        <f>-(D11/'Income Statement'!D8)*365</f>
        <v>77.319127522315156</v>
      </c>
      <c r="E62" s="6">
        <f>-(E11/'Income Statement'!E8)*365</f>
        <v>62.865647870767134</v>
      </c>
      <c r="F62" s="6">
        <f>-(F11/'Income Statement'!F8)*365</f>
        <v>54.663571784646059</v>
      </c>
      <c r="G62" s="6">
        <f>-(G11/'Income Statement'!G8)*365</f>
        <v>58.187385023091871</v>
      </c>
      <c r="H62">
        <f>Assumptions!C54</f>
        <v>57</v>
      </c>
      <c r="I62">
        <f>Assumptions!D54</f>
        <v>55</v>
      </c>
      <c r="J62">
        <f>Assumptions!E54</f>
        <v>53</v>
      </c>
    </row>
    <row r="64" spans="2:11" ht="15" customHeight="1"/>
    <row r="67" ht="1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38"/>
  <sheetViews>
    <sheetView topLeftCell="A24" zoomScaleNormal="100" workbookViewId="0">
      <selection activeCell="K33" sqref="K33"/>
    </sheetView>
  </sheetViews>
  <sheetFormatPr defaultColWidth="8.7109375" defaultRowHeight="15"/>
  <cols>
    <col min="2" max="2" width="36.42578125" bestFit="1" customWidth="1"/>
    <col min="3" max="4" width="8" bestFit="1" customWidth="1"/>
    <col min="5" max="6" width="8.140625" bestFit="1" customWidth="1"/>
    <col min="7" max="7" width="8" bestFit="1" customWidth="1"/>
    <col min="8" max="10" width="7" bestFit="1" customWidth="1"/>
  </cols>
  <sheetData>
    <row r="3" spans="2:10" s="1" customFormat="1" ht="15" customHeight="1">
      <c r="B3" s="1" t="s">
        <v>187</v>
      </c>
      <c r="C3" s="1" t="s">
        <v>188</v>
      </c>
      <c r="D3" s="1" t="s">
        <v>189</v>
      </c>
      <c r="E3" s="1" t="s">
        <v>190</v>
      </c>
      <c r="F3" s="1" t="s">
        <v>191</v>
      </c>
      <c r="G3" s="1" t="s">
        <v>192</v>
      </c>
      <c r="H3" s="1" t="s">
        <v>94</v>
      </c>
      <c r="I3" s="1" t="s">
        <v>193</v>
      </c>
      <c r="J3" s="1" t="s">
        <v>95</v>
      </c>
    </row>
    <row r="4" spans="2:10" ht="15" customHeight="1">
      <c r="B4" t="s">
        <v>194</v>
      </c>
      <c r="C4">
        <v>5519</v>
      </c>
      <c r="D4">
        <v>12556</v>
      </c>
      <c r="E4">
        <v>14997</v>
      </c>
      <c r="F4">
        <v>7091</v>
      </c>
      <c r="G4">
        <v>3794</v>
      </c>
      <c r="H4" s="9">
        <f>'Income Statement'!H32</f>
        <v>4494.5821802500004</v>
      </c>
      <c r="I4" s="9">
        <f>'Income Statement'!I32</f>
        <v>5805.543374369885</v>
      </c>
      <c r="J4" s="9">
        <f>'Income Statement'!J32</f>
        <v>7643.3155903621364</v>
      </c>
    </row>
    <row r="5" spans="2:10" ht="15" customHeight="1">
      <c r="B5" t="s">
        <v>195</v>
      </c>
      <c r="C5">
        <v>2911</v>
      </c>
      <c r="D5">
        <v>3543</v>
      </c>
      <c r="E5">
        <v>4667</v>
      </c>
      <c r="F5">
        <v>5368</v>
      </c>
      <c r="G5">
        <v>6148</v>
      </c>
      <c r="H5" s="9">
        <f>'Income Statement'!H51</f>
        <v>6455.4000000000005</v>
      </c>
      <c r="I5" s="9">
        <f>'Income Statement'!I51</f>
        <v>6778.170000000001</v>
      </c>
      <c r="J5" s="9">
        <f>'Income Statement'!J51</f>
        <v>7117.0785000000014</v>
      </c>
    </row>
    <row r="6" spans="2:10" ht="15" customHeight="1">
      <c r="B6" t="s">
        <v>196</v>
      </c>
      <c r="C6">
        <v>0</v>
      </c>
      <c r="D6">
        <v>204</v>
      </c>
      <c r="E6">
        <v>0</v>
      </c>
      <c r="F6">
        <v>0</v>
      </c>
      <c r="G6">
        <v>0</v>
      </c>
      <c r="H6" s="9">
        <v>0</v>
      </c>
      <c r="I6" s="9">
        <v>0</v>
      </c>
      <c r="J6" s="9">
        <v>0</v>
      </c>
    </row>
    <row r="7" spans="2:10" ht="15" customHeight="1">
      <c r="B7" t="s">
        <v>197</v>
      </c>
      <c r="C7">
        <v>2121</v>
      </c>
      <c r="D7">
        <v>1560</v>
      </c>
      <c r="E7">
        <v>1812</v>
      </c>
      <c r="F7">
        <v>1999</v>
      </c>
      <c r="G7">
        <v>2825</v>
      </c>
      <c r="H7" s="9">
        <f>Assumptions!C49</f>
        <v>2500</v>
      </c>
      <c r="I7" s="9">
        <f>Assumptions!D49</f>
        <v>2600</v>
      </c>
      <c r="J7" s="9">
        <f>Assumptions!E49</f>
        <v>2700</v>
      </c>
    </row>
    <row r="8" spans="2:10" ht="15" customHeight="1">
      <c r="B8" t="s">
        <v>198</v>
      </c>
      <c r="C8">
        <v>279</v>
      </c>
      <c r="D8">
        <v>573</v>
      </c>
      <c r="E8">
        <v>-5972</v>
      </c>
      <c r="F8">
        <v>384</v>
      </c>
      <c r="G8">
        <v>1338</v>
      </c>
      <c r="H8" s="9">
        <v>765</v>
      </c>
      <c r="I8" s="9">
        <v>765</v>
      </c>
      <c r="J8" s="9">
        <v>765</v>
      </c>
    </row>
    <row r="9" spans="2:10" ht="15" customHeight="1">
      <c r="B9" t="s">
        <v>199</v>
      </c>
      <c r="C9">
        <v>-130</v>
      </c>
      <c r="D9">
        <v>-1124</v>
      </c>
      <c r="E9">
        <v>-586</v>
      </c>
      <c r="F9">
        <v>-1083</v>
      </c>
      <c r="G9">
        <v>-261</v>
      </c>
      <c r="H9" s="9">
        <f>'Balance Sheet'!H8-'Balance Sheet'!G8</f>
        <v>-402.22999999999956</v>
      </c>
      <c r="I9" s="9">
        <f>'Balance Sheet'!I8-'Balance Sheet'!H8</f>
        <v>209.78849999999966</v>
      </c>
      <c r="J9" s="9">
        <f>'Balance Sheet'!J8-'Balance Sheet'!I8</f>
        <v>72.562139999999999</v>
      </c>
    </row>
    <row r="10" spans="2:10" ht="15" customHeight="1">
      <c r="B10" t="s">
        <v>200</v>
      </c>
      <c r="C10">
        <v>-1709</v>
      </c>
      <c r="D10">
        <v>-6465</v>
      </c>
      <c r="E10">
        <v>-1195</v>
      </c>
      <c r="F10">
        <v>937</v>
      </c>
      <c r="G10">
        <v>-630</v>
      </c>
      <c r="H10" s="9">
        <f>'Balance Sheet'!H11-'Balance Sheet'!G11</f>
        <v>-926.44145000000026</v>
      </c>
      <c r="I10" s="9">
        <f>'Balance Sheet'!I11-'Balance Sheet'!H11</f>
        <v>8.3298374999976659</v>
      </c>
      <c r="J10" s="9">
        <f>'Balance Sheet'!J11-'Balance Sheet'!I11</f>
        <v>318.96243540000251</v>
      </c>
    </row>
    <row r="11" spans="2:10" ht="15" customHeight="1">
      <c r="B11" t="s">
        <v>201</v>
      </c>
      <c r="C11">
        <v>5367</v>
      </c>
      <c r="D11">
        <v>8029</v>
      </c>
      <c r="E11">
        <v>2605</v>
      </c>
      <c r="F11">
        <v>3588</v>
      </c>
      <c r="G11">
        <v>4376</v>
      </c>
      <c r="H11" s="9">
        <f>'Balance Sheet'!H27-'Balance Sheet'!G27</f>
        <v>-899.69070000000102</v>
      </c>
      <c r="I11" s="9">
        <f>'Balance Sheet'!I27-'Balance Sheet'!H27</f>
        <v>671.50830750000023</v>
      </c>
      <c r="J11" s="9">
        <f>'Balance Sheet'!J27-'Balance Sheet'!I27</f>
        <v>1097.6060277000015</v>
      </c>
    </row>
    <row r="12" spans="2:10" ht="15" customHeight="1">
      <c r="B12" t="s">
        <v>202</v>
      </c>
      <c r="C12">
        <v>793</v>
      </c>
      <c r="D12">
        <v>1131</v>
      </c>
      <c r="E12">
        <v>1532</v>
      </c>
      <c r="F12">
        <v>502</v>
      </c>
      <c r="G12">
        <v>363</v>
      </c>
      <c r="H12" s="9">
        <f>'Balance Sheet'!H32-'Balance Sheet'!G32</f>
        <v>-180.91660000000047</v>
      </c>
      <c r="I12" s="9">
        <f>'Balance Sheet'!I32-'Balance Sheet'!H32</f>
        <v>256.74410250000028</v>
      </c>
      <c r="J12" s="9">
        <f>'Balance Sheet'!J32-'Balance Sheet'!I32</f>
        <v>382.14332730000024</v>
      </c>
    </row>
    <row r="13" spans="2:10" ht="15" customHeight="1">
      <c r="B13" t="s">
        <v>203</v>
      </c>
      <c r="C13">
        <v>-3654</v>
      </c>
      <c r="D13">
        <v>-5283</v>
      </c>
      <c r="E13">
        <v>-4604</v>
      </c>
      <c r="F13">
        <v>-3863</v>
      </c>
      <c r="G13">
        <v>-3206</v>
      </c>
      <c r="H13" s="9">
        <f>-('Balance Sheet'!H12-'Balance Sheet'!G12)+('Balance Sheet'!H28-'Balance Sheet'!G28)+('Balance Sheet'!H33-'Balance Sheet'!G33)</f>
        <v>-211.74529999999959</v>
      </c>
      <c r="I13" s="9">
        <f>-('Balance Sheet'!I12-'Balance Sheet'!H12)+('Balance Sheet'!I28-'Balance Sheet'!H28)+('Balance Sheet'!I33-'Balance Sheet'!H33)</f>
        <v>360.34259999999995</v>
      </c>
      <c r="J13" s="9">
        <f>-('Balance Sheet'!J12-'Balance Sheet'!I12)+('Balance Sheet'!J28-'Balance Sheet'!I28)+('Balance Sheet'!J33-'Balance Sheet'!I33)</f>
        <v>507.00203819999933</v>
      </c>
    </row>
    <row r="14" spans="2:10" s="1" customFormat="1" ht="15" customHeight="1">
      <c r="B14" s="1" t="s">
        <v>204</v>
      </c>
      <c r="C14" s="1">
        <f>SUM('Cash Flow'!C4:C13)</f>
        <v>11497</v>
      </c>
      <c r="D14" s="1">
        <f>SUM('Cash Flow'!D4:D13)</f>
        <v>14724</v>
      </c>
      <c r="E14" s="1">
        <f>SUM('Cash Flow'!E4:E13)</f>
        <v>13256</v>
      </c>
      <c r="F14" s="1">
        <f>SUM('Cash Flow'!F4:F13)</f>
        <v>14923</v>
      </c>
      <c r="G14" s="1">
        <f>SUM('Cash Flow'!G4:G13)</f>
        <v>14747</v>
      </c>
      <c r="H14" s="8">
        <f>SUM('Cash Flow'!H4:H13)</f>
        <v>11593.958130250001</v>
      </c>
      <c r="I14" s="8">
        <f>SUM('Cash Flow'!I4:I13)</f>
        <v>17455.426721869884</v>
      </c>
      <c r="J14" s="8">
        <f>SUM('Cash Flow'!J4:J13)</f>
        <v>20603.67005896214</v>
      </c>
    </row>
    <row r="15" spans="2:10" ht="15" customHeight="1">
      <c r="B15" t="s">
        <v>205</v>
      </c>
      <c r="C15" s="2">
        <v>0.9345</v>
      </c>
      <c r="D15" s="2">
        <f>(D14-C14)/C14</f>
        <v>0.28068191702183176</v>
      </c>
      <c r="E15" s="2">
        <f>(E14-D14)/D14</f>
        <v>-9.9701168160825859E-2</v>
      </c>
      <c r="F15" s="2">
        <f>(F14-E14)/E14</f>
        <v>0.1257543753771877</v>
      </c>
      <c r="G15" s="2">
        <f>(G14-F14)/F14</f>
        <v>-1.179387522616096E-2</v>
      </c>
      <c r="H15" s="9">
        <f>(H14-G14)/G14</f>
        <v>-0.2138090370753373</v>
      </c>
      <c r="I15" s="9">
        <f>(I14-H14)/H14</f>
        <v>0.50556233908820336</v>
      </c>
      <c r="J15" s="9">
        <f>(J14-I14)/I14</f>
        <v>0.18035900165922755</v>
      </c>
    </row>
    <row r="16" spans="2:10" ht="15" customHeight="1">
      <c r="B16" t="s">
        <v>206</v>
      </c>
      <c r="C16">
        <v>-6514</v>
      </c>
      <c r="D16">
        <v>-7163</v>
      </c>
      <c r="E16">
        <v>-8899</v>
      </c>
      <c r="F16">
        <v>-11342</v>
      </c>
      <c r="G16">
        <v>-8527</v>
      </c>
      <c r="H16" s="9">
        <f>'Income Statement'!H57</f>
        <v>-8107.7084999999988</v>
      </c>
      <c r="I16" s="9">
        <f>'Income Statement'!I57</f>
        <v>-8040.1442625</v>
      </c>
      <c r="J16" s="9">
        <f>'Income Statement'!J57</f>
        <v>-8376.8844222000007</v>
      </c>
    </row>
    <row r="17" spans="2:10" ht="15" customHeight="1">
      <c r="B17" t="s">
        <v>207</v>
      </c>
      <c r="C17">
        <v>0</v>
      </c>
      <c r="D17">
        <v>0</v>
      </c>
      <c r="E17">
        <v>-64</v>
      </c>
      <c r="F17">
        <v>0</v>
      </c>
      <c r="G17">
        <v>0</v>
      </c>
      <c r="H17" s="9">
        <v>0</v>
      </c>
      <c r="I17" s="9">
        <v>0</v>
      </c>
      <c r="J17" s="9">
        <v>0</v>
      </c>
    </row>
    <row r="18" spans="2:10" ht="15" customHeight="1">
      <c r="B18" t="s">
        <v>208</v>
      </c>
      <c r="C18">
        <v>0</v>
      </c>
      <c r="D18">
        <v>-9</v>
      </c>
      <c r="E18">
        <v>0</v>
      </c>
      <c r="F18">
        <v>0</v>
      </c>
      <c r="G18">
        <v>0</v>
      </c>
      <c r="H18" s="9">
        <v>0</v>
      </c>
      <c r="I18" s="9">
        <v>0</v>
      </c>
      <c r="J18" s="9">
        <v>0</v>
      </c>
    </row>
    <row r="19" spans="2:10" ht="15" customHeight="1">
      <c r="B19" t="s">
        <v>209</v>
      </c>
      <c r="C19">
        <v>-132</v>
      </c>
      <c r="D19">
        <v>-5813</v>
      </c>
      <c r="E19">
        <v>-6621</v>
      </c>
      <c r="F19">
        <v>-7445</v>
      </c>
      <c r="G19">
        <v>-6951</v>
      </c>
      <c r="H19" s="9">
        <v>0</v>
      </c>
      <c r="I19" s="9">
        <v>0</v>
      </c>
      <c r="J19" s="9">
        <v>0</v>
      </c>
    </row>
    <row r="20" spans="2:10" ht="15" customHeight="1">
      <c r="B20" t="s">
        <v>210</v>
      </c>
      <c r="C20">
        <v>-1222</v>
      </c>
      <c r="D20">
        <v>1012</v>
      </c>
      <c r="E20">
        <v>0</v>
      </c>
      <c r="F20">
        <v>0</v>
      </c>
      <c r="G20">
        <v>0</v>
      </c>
      <c r="H20" s="9">
        <v>0</v>
      </c>
      <c r="I20" s="9">
        <v>0</v>
      </c>
      <c r="J20" s="9">
        <v>0</v>
      </c>
    </row>
    <row r="21" spans="2:10" s="1" customFormat="1" ht="15" customHeight="1">
      <c r="B21" s="1" t="s">
        <v>211</v>
      </c>
      <c r="C21" s="1">
        <f>SUM(C16:C20)</f>
        <v>-7868</v>
      </c>
      <c r="D21" s="1">
        <f>SUM(D16:D20)</f>
        <v>-11973</v>
      </c>
      <c r="E21" s="1">
        <f>SUM(E16:E20)</f>
        <v>-15584</v>
      </c>
      <c r="F21" s="1">
        <f>SUM(F16:F20)</f>
        <v>-18787</v>
      </c>
      <c r="G21" s="1">
        <f>SUM(G16:G20)</f>
        <v>-15478</v>
      </c>
      <c r="H21" s="8">
        <f>SUM(H16:H20)</f>
        <v>-8107.7084999999988</v>
      </c>
      <c r="I21" s="8">
        <f>SUM(I16:I20)</f>
        <v>-8040.1442625</v>
      </c>
      <c r="J21" s="8">
        <f>SUM(J16:J20)</f>
        <v>-8376.8844222000007</v>
      </c>
    </row>
    <row r="22" spans="2:10" ht="15" customHeight="1">
      <c r="B22" t="s">
        <v>212</v>
      </c>
      <c r="C22">
        <v>8883</v>
      </c>
      <c r="D22">
        <v>0</v>
      </c>
      <c r="E22">
        <v>3931</v>
      </c>
      <c r="F22">
        <v>5744</v>
      </c>
      <c r="G22">
        <v>5586</v>
      </c>
      <c r="H22" s="9">
        <v>0</v>
      </c>
      <c r="I22" s="9">
        <v>0</v>
      </c>
      <c r="J22" s="9">
        <v>0</v>
      </c>
    </row>
    <row r="23" spans="2:10" ht="15" customHeight="1">
      <c r="B23" t="s">
        <v>213</v>
      </c>
      <c r="C23">
        <v>-14615</v>
      </c>
      <c r="D23">
        <v>-3866</v>
      </c>
      <c r="E23">
        <v>-1815</v>
      </c>
      <c r="F23">
        <v>-2881</v>
      </c>
      <c r="G23">
        <v>-5650</v>
      </c>
      <c r="H23" s="9">
        <v>-84</v>
      </c>
      <c r="I23" s="9">
        <v>0</v>
      </c>
      <c r="J23" s="9">
        <v>0</v>
      </c>
    </row>
    <row r="24" spans="2:10" s="1" customFormat="1" ht="15" customHeight="1">
      <c r="B24" s="1" t="s">
        <v>214</v>
      </c>
      <c r="C24" s="1">
        <v>-5732</v>
      </c>
      <c r="D24" s="1">
        <v>-3866</v>
      </c>
      <c r="E24" s="1">
        <v>2116</v>
      </c>
      <c r="F24" s="1">
        <v>2863</v>
      </c>
      <c r="G24" s="1">
        <v>-64</v>
      </c>
      <c r="H24" s="8">
        <f>-(H22-H23)</f>
        <v>-84</v>
      </c>
      <c r="I24" s="8">
        <f>I22-I23</f>
        <v>0</v>
      </c>
      <c r="J24" s="8">
        <f>J22-J23</f>
        <v>0</v>
      </c>
    </row>
    <row r="25" spans="2:10" ht="15" customHeight="1">
      <c r="B25" t="s">
        <v>215</v>
      </c>
      <c r="C25">
        <v>707</v>
      </c>
      <c r="D25">
        <v>541</v>
      </c>
      <c r="E25">
        <v>700</v>
      </c>
      <c r="F25">
        <v>1241</v>
      </c>
      <c r="G25">
        <v>1186</v>
      </c>
      <c r="H25" s="9">
        <f>G25*101%</f>
        <v>1197.8599999999999</v>
      </c>
      <c r="I25" s="9">
        <f>H25*101%</f>
        <v>1209.8385999999998</v>
      </c>
      <c r="J25" s="9">
        <f>I25*101%</f>
        <v>1221.9369859999999</v>
      </c>
    </row>
    <row r="26" spans="2:10" ht="15" customHeight="1">
      <c r="B26" t="s">
        <v>216</v>
      </c>
      <c r="C26">
        <v>-178</v>
      </c>
      <c r="D26">
        <v>-202</v>
      </c>
      <c r="E26">
        <v>-227</v>
      </c>
      <c r="F26">
        <v>-251</v>
      </c>
      <c r="G26">
        <v>17</v>
      </c>
      <c r="H26" s="9">
        <v>0</v>
      </c>
      <c r="I26" s="9">
        <v>0</v>
      </c>
      <c r="J26" s="9">
        <v>0</v>
      </c>
    </row>
    <row r="27" spans="2:10" s="1" customFormat="1" ht="15" customHeight="1">
      <c r="B27" s="1" t="s">
        <v>217</v>
      </c>
      <c r="C27" s="1">
        <f>C24+C25+C26</f>
        <v>-5203</v>
      </c>
      <c r="D27" s="1">
        <f>D24+D25+D26</f>
        <v>-3527</v>
      </c>
      <c r="E27" s="1">
        <f>E24+E25+E26</f>
        <v>2589</v>
      </c>
      <c r="F27" s="1">
        <f>F24+F25+F26</f>
        <v>3853</v>
      </c>
      <c r="G27" s="1">
        <f>G24+G25+G26</f>
        <v>1139</v>
      </c>
      <c r="H27" s="8">
        <f>H24+H25+H26</f>
        <v>1113.8599999999999</v>
      </c>
      <c r="I27" s="8">
        <f>I24+I25+I26</f>
        <v>1209.8385999999998</v>
      </c>
      <c r="J27" s="8">
        <f>J24+J25+J26</f>
        <v>1221.9369859999999</v>
      </c>
    </row>
    <row r="28" spans="2:10" ht="15" customHeight="1">
      <c r="B28" t="s">
        <v>218</v>
      </c>
      <c r="C28">
        <v>-183</v>
      </c>
      <c r="D28">
        <v>-444</v>
      </c>
      <c r="E28">
        <v>4</v>
      </c>
      <c r="F28">
        <v>-141</v>
      </c>
      <c r="G28">
        <v>171</v>
      </c>
      <c r="H28" s="9">
        <v>0</v>
      </c>
      <c r="I28" s="9">
        <v>0</v>
      </c>
      <c r="J28" s="9">
        <v>0</v>
      </c>
    </row>
    <row r="29" spans="2:10" s="1" customFormat="1" ht="15" customHeight="1">
      <c r="B29" s="1" t="s">
        <v>219</v>
      </c>
      <c r="C29" s="1">
        <f>C14+C21+C27+C28</f>
        <v>-1757</v>
      </c>
      <c r="D29" s="1">
        <f>D14+D21+D27+D28</f>
        <v>-1220</v>
      </c>
      <c r="E29" s="1">
        <f>E14+E21+E27+E28</f>
        <v>265</v>
      </c>
      <c r="F29" s="1">
        <f>F14+F21+F27+F28</f>
        <v>-152</v>
      </c>
      <c r="G29" s="1">
        <f>G14+G21+G27+G28</f>
        <v>579</v>
      </c>
      <c r="H29" s="8">
        <f>H14+H21+H27+H28</f>
        <v>4600.1096302500018</v>
      </c>
      <c r="I29" s="8">
        <f>I14+I21+I27+I28</f>
        <v>10625.121059369883</v>
      </c>
      <c r="J29" s="8">
        <f>J14+J21+J27+J28</f>
        <v>13448.72262276214</v>
      </c>
    </row>
    <row r="30" spans="2:10" ht="15" customHeight="1">
      <c r="B30" t="s">
        <v>220</v>
      </c>
      <c r="C30">
        <v>4983</v>
      </c>
      <c r="D30">
        <v>7561</v>
      </c>
      <c r="E30">
        <v>4357</v>
      </c>
      <c r="F30">
        <v>3581</v>
      </c>
      <c r="G30">
        <v>6220</v>
      </c>
      <c r="H30" s="9">
        <f>H14+H16</f>
        <v>3486.2496302500022</v>
      </c>
      <c r="I30" s="9">
        <f t="shared" ref="I30:J30" si="0">I14+I16</f>
        <v>9415.2824593698842</v>
      </c>
      <c r="J30" s="9">
        <f t="shared" si="0"/>
        <v>12226.785636762139</v>
      </c>
    </row>
    <row r="31" spans="2:10" ht="15" customHeight="1">
      <c r="B31" t="s">
        <v>221</v>
      </c>
      <c r="C31" s="2">
        <v>0.83809999999999996</v>
      </c>
      <c r="D31" s="2">
        <v>0.51739999999999997</v>
      </c>
      <c r="E31" s="2">
        <v>-0.42380000000000001</v>
      </c>
      <c r="F31" s="2">
        <v>-0.17810000000000001</v>
      </c>
      <c r="G31" s="2">
        <v>0.7369</v>
      </c>
      <c r="H31" s="9">
        <f>(H30-G30)/G30</f>
        <v>-0.43950970574758808</v>
      </c>
      <c r="I31" s="9">
        <f>(I30-H30)/H30</f>
        <v>1.7006908448763911</v>
      </c>
      <c r="J31" s="9">
        <f>(J30-I30)/I30</f>
        <v>0.29861060350816221</v>
      </c>
    </row>
    <row r="32" spans="2:10" ht="15" customHeight="1">
      <c r="B32" t="s">
        <v>222</v>
      </c>
      <c r="C32" s="2">
        <f>C30/'Income Statement'!C5</f>
        <v>9.258123850398528E-2</v>
      </c>
      <c r="D32" s="2">
        <f>D30/'Income Statement'!D5</f>
        <v>9.281628243843755E-2</v>
      </c>
      <c r="E32" s="2">
        <f>E30/'Income Statement'!E5</f>
        <v>4.5022888615626262E-2</v>
      </c>
      <c r="F32" s="2">
        <f>F30/'Income Statement'!F5</f>
        <v>3.665677141979732E-2</v>
      </c>
      <c r="G32" s="2">
        <f>G30/'Income Statement'!G5</f>
        <v>6.5593132757547953E-2</v>
      </c>
      <c r="H32" s="9">
        <f>H30/'Income Statement'!H5</f>
        <v>3.8699278189700606E-2</v>
      </c>
      <c r="I32" s="9">
        <f>I30/'Income Statement'!I5</f>
        <v>9.9537891724046687E-2</v>
      </c>
      <c r="J32" s="9">
        <f>J30/'Income Statement'!J5</f>
        <v>0.1196860755960133</v>
      </c>
    </row>
    <row r="33" spans="2:10" ht="15" customHeight="1">
      <c r="B33" t="s">
        <v>223</v>
      </c>
      <c r="C33" s="6">
        <f>'Cash Flow'!C30/'Income Statement'!C37</f>
        <v>1.4716479621972829</v>
      </c>
      <c r="D33" s="6">
        <f>'Cash Flow'!D30/'Income Statement'!D37</f>
        <v>2.1758273381294964</v>
      </c>
      <c r="E33" s="6">
        <f>'Cash Flow'!E30/'Income Statement'!E37</f>
        <v>1.2502152080344333</v>
      </c>
      <c r="F33" s="6">
        <f>'Cash Flow'!F30/'Income Statement'!F37</f>
        <v>1.0237278444825615</v>
      </c>
      <c r="G33" s="6">
        <f>'Cash Flow'!G30/'Income Statement'!G37</f>
        <v>1.7630385487528344</v>
      </c>
      <c r="H33" s="9">
        <f>'Cash Flow'!H30/'Income Statement'!H37</f>
        <v>0.98314992392837064</v>
      </c>
      <c r="I33" s="9">
        <f>'Cash Flow'!I30/'Income Statement'!I37</f>
        <v>2.6417739784988452</v>
      </c>
      <c r="J33" s="9">
        <f>'Cash Flow'!J30/'Income Statement'!J37</f>
        <v>3.413396325170893</v>
      </c>
    </row>
    <row r="34" spans="2:10" ht="15" customHeight="1">
      <c r="B34" t="s">
        <v>224</v>
      </c>
      <c r="C34">
        <v>266</v>
      </c>
      <c r="D34">
        <v>152</v>
      </c>
      <c r="E34">
        <v>126</v>
      </c>
      <c r="F34">
        <v>277</v>
      </c>
      <c r="G34">
        <v>292</v>
      </c>
      <c r="H34" s="9">
        <f>'Balance Sheet'!H55*4%</f>
        <v>592.86</v>
      </c>
      <c r="I34" s="9">
        <f>'Balance Sheet'!I55*4%</f>
        <v>585.77639999999997</v>
      </c>
      <c r="J34" s="9">
        <f>'Balance Sheet'!J55*4%</f>
        <v>577.66952800000001</v>
      </c>
    </row>
    <row r="35" spans="2:10" ht="15" customHeight="1">
      <c r="B35" t="s">
        <v>225</v>
      </c>
      <c r="C35">
        <v>561</v>
      </c>
      <c r="D35">
        <v>1203</v>
      </c>
      <c r="E35">
        <v>1120</v>
      </c>
      <c r="F35">
        <v>1330</v>
      </c>
      <c r="G35">
        <v>1232</v>
      </c>
      <c r="H35" s="9">
        <f>'Income Statement'!H19*Assumptions!C14</f>
        <v>1217.5075597500002</v>
      </c>
      <c r="I35" s="9">
        <f>'Income Statement'!I19*Assumptions!D14</f>
        <v>1616.0689967625026</v>
      </c>
      <c r="J35" s="9">
        <f>'Income Statement'!J19*Assumptions!E14</f>
        <v>2136.1055276609991</v>
      </c>
    </row>
    <row r="36" spans="2:10" ht="15" customHeight="1">
      <c r="B36" t="s">
        <v>226</v>
      </c>
      <c r="C36">
        <v>6453</v>
      </c>
      <c r="D36">
        <v>4124</v>
      </c>
      <c r="E36">
        <v>2328</v>
      </c>
      <c r="F36">
        <v>-608.13</v>
      </c>
      <c r="G36">
        <v>3944</v>
      </c>
      <c r="H36" s="9">
        <f>'Income Statement'!H19*(1-0.25)+'Income Statement'!H51+'Income Statement'!H57-H37</f>
        <v>1926.6857874999996</v>
      </c>
      <c r="I36" s="9">
        <f>'Income Statement'!I19*(1-0.25)+'Income Statement'!I51+'Income Statement'!I57-I37</f>
        <v>4413.0051956250118</v>
      </c>
      <c r="J36" s="9">
        <f>'Income Statement'!J19*(1-0.25)+'Income Statement'!J51+'Income Statement'!J57-J37</f>
        <v>6466.7403202499981</v>
      </c>
    </row>
    <row r="37" spans="2:10" ht="15" customHeight="1">
      <c r="B37" t="s">
        <v>227</v>
      </c>
      <c r="C37">
        <v>667</v>
      </c>
      <c r="D37">
        <v>-3712</v>
      </c>
      <c r="E37">
        <v>-2248</v>
      </c>
      <c r="F37">
        <v>81</v>
      </c>
      <c r="G37">
        <v>642</v>
      </c>
      <c r="H37" s="9">
        <f>H9+H10-H11-H38-H12</f>
        <v>1.9103000000022803</v>
      </c>
      <c r="I37" s="9">
        <f>I9+I10-I11-I38-I12</f>
        <v>-921.83535000000347</v>
      </c>
      <c r="J37" s="9">
        <f>J9+J10-J11-J38-J12</f>
        <v>-1443.8829257999996</v>
      </c>
    </row>
    <row r="38" spans="2:10" ht="15" customHeight="1">
      <c r="B38" t="s">
        <v>228</v>
      </c>
      <c r="D38">
        <f>'Balance Sheet'!D28-'Balance Sheet'!C28</f>
        <v>822</v>
      </c>
      <c r="E38">
        <f>'Balance Sheet'!E28-'Balance Sheet'!D28</f>
        <v>273</v>
      </c>
      <c r="F38">
        <f>'Balance Sheet'!F28-'Balance Sheet'!E28</f>
        <v>-261</v>
      </c>
      <c r="G38">
        <f>'Balance Sheet'!G28-'Balance Sheet'!F28</f>
        <v>699</v>
      </c>
      <c r="H38" s="9">
        <f>'Balance Sheet'!H28-'Balance Sheet'!G28</f>
        <v>-249.97445000000062</v>
      </c>
      <c r="I38" s="9">
        <f>'Balance Sheet'!I28-'Balance Sheet'!H28</f>
        <v>211.70127750000029</v>
      </c>
      <c r="J38" s="9">
        <f>'Balance Sheet'!J28-'Balance Sheet'!I28</f>
        <v>355.65814620000037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9E6B-1F8F-4B23-A001-4F6DE91AFB16}">
  <dimension ref="B2:W26"/>
  <sheetViews>
    <sheetView topLeftCell="O1" workbookViewId="0">
      <selection activeCell="E2" sqref="E2"/>
    </sheetView>
  </sheetViews>
  <sheetFormatPr defaultRowHeight="15"/>
  <cols>
    <col min="2" max="2" width="16.28515625" bestFit="1" customWidth="1"/>
    <col min="3" max="3" width="9.7109375" bestFit="1" customWidth="1"/>
    <col min="5" max="5" width="29.85546875" bestFit="1" customWidth="1"/>
    <col min="6" max="6" width="10" bestFit="1" customWidth="1"/>
    <col min="7" max="7" width="10.42578125" bestFit="1" customWidth="1"/>
    <col min="8" max="8" width="10" bestFit="1" customWidth="1"/>
    <col min="9" max="9" width="11" bestFit="1" customWidth="1"/>
    <col min="10" max="11" width="10" bestFit="1" customWidth="1"/>
    <col min="12" max="12" width="12" bestFit="1" customWidth="1"/>
    <col min="13" max="14" width="11.5703125" bestFit="1" customWidth="1"/>
    <col min="15" max="15" width="19.28515625" bestFit="1" customWidth="1"/>
    <col min="16" max="18" width="9.7109375" bestFit="1" customWidth="1"/>
  </cols>
  <sheetData>
    <row r="2" spans="2:23">
      <c r="B2" t="s">
        <v>229</v>
      </c>
      <c r="C2" s="10">
        <v>4.3999999999999997E-2</v>
      </c>
      <c r="F2">
        <v>1</v>
      </c>
      <c r="G2">
        <v>2</v>
      </c>
      <c r="H2">
        <v>3</v>
      </c>
      <c r="K2" t="s">
        <v>230</v>
      </c>
      <c r="L2" t="s">
        <v>230</v>
      </c>
      <c r="M2" t="s">
        <v>230</v>
      </c>
      <c r="P2" t="s">
        <v>231</v>
      </c>
      <c r="Q2" t="s">
        <v>232</v>
      </c>
      <c r="R2" t="s">
        <v>233</v>
      </c>
    </row>
    <row r="3" spans="2:23">
      <c r="B3" t="s">
        <v>234</v>
      </c>
      <c r="C3" s="11">
        <v>1.8</v>
      </c>
      <c r="F3" s="1">
        <v>2021</v>
      </c>
      <c r="G3" s="1">
        <v>2022</v>
      </c>
      <c r="H3" s="1">
        <v>2023</v>
      </c>
      <c r="I3" s="1">
        <v>2024</v>
      </c>
      <c r="J3" s="1">
        <v>2025</v>
      </c>
      <c r="K3" s="1">
        <v>2026</v>
      </c>
      <c r="L3" s="1">
        <v>2027</v>
      </c>
      <c r="M3" s="1">
        <v>2028</v>
      </c>
      <c r="O3" s="1" t="s">
        <v>235</v>
      </c>
    </row>
    <row r="4" spans="2:23">
      <c r="B4" t="s">
        <v>236</v>
      </c>
      <c r="C4" s="10">
        <v>4.4999999999999998E-2</v>
      </c>
      <c r="E4" t="s">
        <v>237</v>
      </c>
      <c r="F4" s="9">
        <f>'Income Statement'!C19</f>
        <v>6523</v>
      </c>
      <c r="G4" s="9">
        <f>'Income Statement'!D19</f>
        <v>13692</v>
      </c>
      <c r="H4" s="9">
        <f>'Income Statement'!E19</f>
        <v>8891</v>
      </c>
      <c r="I4" s="9">
        <f>'Income Statement'!F19</f>
        <v>7659</v>
      </c>
      <c r="J4" s="9">
        <f>'Income Statement'!G19</f>
        <v>4355</v>
      </c>
      <c r="K4" s="9">
        <f>'Income Statement'!H19</f>
        <v>4774.5394500000002</v>
      </c>
      <c r="L4" s="9">
        <f>'Income Statement'!I19</f>
        <v>6337.5254775000103</v>
      </c>
      <c r="M4" s="9">
        <f>'Income Statement'!J19</f>
        <v>8376.8844221999971</v>
      </c>
      <c r="O4" t="s">
        <v>238</v>
      </c>
      <c r="P4" s="2">
        <f>Assumptions!C9</f>
        <v>-0.05</v>
      </c>
      <c r="Q4" s="2">
        <f>Assumptions!D9</f>
        <v>0.05</v>
      </c>
      <c r="R4" s="2">
        <f>Assumptions!E9</f>
        <v>0.08</v>
      </c>
      <c r="T4" s="2"/>
      <c r="U4" s="2"/>
      <c r="V4" s="2"/>
      <c r="W4" s="2"/>
    </row>
    <row r="5" spans="2:23">
      <c r="B5" t="s">
        <v>239</v>
      </c>
      <c r="C5" s="2">
        <f>-'Income Statement'!G23/'Balance Sheet'!G55</f>
        <v>2.2963516543243426E-2</v>
      </c>
      <c r="E5" t="s">
        <v>240</v>
      </c>
      <c r="F5" s="9">
        <f>F4*$C$7</f>
        <v>1663.365</v>
      </c>
      <c r="G5" s="9">
        <f t="shared" ref="G5:M5" si="0">G4*$C$7</f>
        <v>3491.46</v>
      </c>
      <c r="H5" s="9">
        <f t="shared" si="0"/>
        <v>2267.2049999999999</v>
      </c>
      <c r="I5" s="9">
        <f t="shared" si="0"/>
        <v>1953.0450000000001</v>
      </c>
      <c r="J5" s="9">
        <f t="shared" si="0"/>
        <v>1110.5250000000001</v>
      </c>
      <c r="K5" s="9">
        <f t="shared" si="0"/>
        <v>1217.5075597500002</v>
      </c>
      <c r="L5" s="9">
        <f t="shared" si="0"/>
        <v>1616.0689967625026</v>
      </c>
      <c r="M5" s="9">
        <f t="shared" si="0"/>
        <v>2136.1055276609991</v>
      </c>
      <c r="O5" t="s">
        <v>128</v>
      </c>
      <c r="P5" s="4">
        <v>0.17</v>
      </c>
      <c r="Q5" s="4">
        <v>0.185</v>
      </c>
      <c r="R5" s="4">
        <v>0.21</v>
      </c>
    </row>
    <row r="6" spans="2:23">
      <c r="B6" t="s">
        <v>241</v>
      </c>
      <c r="C6" s="2">
        <f>C2+C3*C4</f>
        <v>0.125</v>
      </c>
      <c r="E6" t="s">
        <v>242</v>
      </c>
      <c r="F6" s="9">
        <f>F4-F5</f>
        <v>4859.6350000000002</v>
      </c>
      <c r="G6" s="9">
        <f t="shared" ref="G6:M6" si="1">G4-G5</f>
        <v>10200.540000000001</v>
      </c>
      <c r="H6" s="9">
        <f t="shared" si="1"/>
        <v>6623.7950000000001</v>
      </c>
      <c r="I6" s="9">
        <f t="shared" si="1"/>
        <v>5705.9549999999999</v>
      </c>
      <c r="J6" s="9">
        <f t="shared" si="1"/>
        <v>3244.4749999999999</v>
      </c>
      <c r="K6" s="9">
        <f t="shared" si="1"/>
        <v>3557.0318902500003</v>
      </c>
      <c r="L6" s="9">
        <f t="shared" si="1"/>
        <v>4721.4564807375082</v>
      </c>
      <c r="M6" s="9">
        <f t="shared" si="1"/>
        <v>6240.7788945389984</v>
      </c>
      <c r="O6" t="s">
        <v>243</v>
      </c>
      <c r="P6" s="4">
        <v>0.14000000000000001</v>
      </c>
      <c r="Q6" s="4">
        <v>0.124</v>
      </c>
      <c r="R6" s="4">
        <v>0.1</v>
      </c>
      <c r="T6" s="2"/>
    </row>
    <row r="7" spans="2:23">
      <c r="B7" t="s">
        <v>240</v>
      </c>
      <c r="C7" s="2">
        <v>0.255</v>
      </c>
      <c r="E7" t="s">
        <v>244</v>
      </c>
      <c r="F7" s="9">
        <f>'Cash Flow'!C5</f>
        <v>2911</v>
      </c>
      <c r="G7" s="9">
        <f>'Cash Flow'!D5</f>
        <v>3543</v>
      </c>
      <c r="H7" s="9">
        <f>'Cash Flow'!E5</f>
        <v>4667</v>
      </c>
      <c r="I7" s="9">
        <f>'Cash Flow'!F5</f>
        <v>5368</v>
      </c>
      <c r="J7" s="9">
        <f>'Cash Flow'!G5</f>
        <v>6148</v>
      </c>
      <c r="K7" s="9">
        <f>'Cash Flow'!H5</f>
        <v>6455.4000000000005</v>
      </c>
      <c r="L7" s="9">
        <f>'Cash Flow'!I5</f>
        <v>6778.170000000001</v>
      </c>
      <c r="M7" s="9">
        <f>'Cash Flow'!J5</f>
        <v>7117.0785000000014</v>
      </c>
      <c r="O7" t="s">
        <v>245</v>
      </c>
      <c r="P7" s="3">
        <v>1.4999999999999999E-2</v>
      </c>
      <c r="Q7" s="3">
        <v>2.5000000000000001E-2</v>
      </c>
      <c r="R7" s="3">
        <v>3.5000000000000003E-2</v>
      </c>
    </row>
    <row r="8" spans="2:23">
      <c r="B8" t="s">
        <v>246</v>
      </c>
      <c r="C8" s="2">
        <f>C5*(1-C7)</f>
        <v>1.7107819824716351E-2</v>
      </c>
      <c r="E8" t="s">
        <v>247</v>
      </c>
      <c r="F8" s="9">
        <f>'Cash Flow'!C16</f>
        <v>-6514</v>
      </c>
      <c r="G8" s="9">
        <f>'Cash Flow'!D16</f>
        <v>-7163</v>
      </c>
      <c r="H8" s="9">
        <f>'Cash Flow'!E16</f>
        <v>-8899</v>
      </c>
      <c r="I8" s="9">
        <f>'Cash Flow'!F16</f>
        <v>-11342</v>
      </c>
      <c r="J8" s="9">
        <f>'Cash Flow'!G16</f>
        <v>-8527</v>
      </c>
      <c r="K8" s="9">
        <f>'Cash Flow'!H16</f>
        <v>-8107.7084999999988</v>
      </c>
      <c r="L8" s="9">
        <f>'Cash Flow'!I16</f>
        <v>-8040.1442625</v>
      </c>
      <c r="M8" s="9">
        <f>'Cash Flow'!J16</f>
        <v>-8376.8844222000007</v>
      </c>
    </row>
    <row r="9" spans="2:23">
      <c r="B9" t="s">
        <v>248</v>
      </c>
      <c r="C9">
        <v>1550000</v>
      </c>
      <c r="E9" t="s">
        <v>184</v>
      </c>
      <c r="F9" s="9">
        <f>('Balance Sheet'!C14-'Balance Sheet'!C7)-('Balance Sheet'!C34-'Balance Sheet'!C29-'Balance Sheet'!C30)</f>
        <v>-8355</v>
      </c>
      <c r="G9" s="9">
        <f>('Balance Sheet'!D14-'Balance Sheet'!D7)-('Balance Sheet'!D34-'Balance Sheet'!D29-'Balance Sheet'!D30)</f>
        <v>-5990</v>
      </c>
      <c r="H9" s="9">
        <f>('Balance Sheet'!E14-'Balance Sheet'!E7)-('Balance Sheet'!E34-'Balance Sheet'!E29-'Balance Sheet'!E30)</f>
        <v>-5181</v>
      </c>
      <c r="I9" s="9">
        <f>('Balance Sheet'!F14-'Balance Sheet'!F7)-('Balance Sheet'!F34-'Balance Sheet'!F29-'Balance Sheet'!F30)</f>
        <v>-3761</v>
      </c>
      <c r="J9" s="9">
        <f>('Balance Sheet'!G14-'Balance Sheet'!G7)-('Balance Sheet'!G34-'Balance Sheet'!G29-'Balance Sheet'!G30)</f>
        <v>-4537</v>
      </c>
      <c r="K9" s="9">
        <f>('Balance Sheet'!H14-'Balance Sheet'!H7)-('Balance Sheet'!H34-'Balance Sheet'!H29-'Balance Sheet'!H30)</f>
        <v>-4510.7749000000003</v>
      </c>
      <c r="L9" s="9">
        <f>('Balance Sheet'!I14-'Balance Sheet'!I7)-('Balance Sheet'!I34-'Balance Sheet'!I29-'Balance Sheet'!I30)</f>
        <v>-5657.8243749999965</v>
      </c>
      <c r="M9" s="9">
        <f>('Balance Sheet'!J14-'Balance Sheet'!J7)-('Balance Sheet'!J34-'Balance Sheet'!J29-'Balance Sheet'!J30)</f>
        <v>-7381.6935010000088</v>
      </c>
    </row>
    <row r="10" spans="2:23">
      <c r="B10" t="s">
        <v>249</v>
      </c>
      <c r="C10">
        <v>13800</v>
      </c>
      <c r="E10" t="s">
        <v>227</v>
      </c>
      <c r="F10" s="9"/>
      <c r="G10" s="9">
        <f>-(G9-F9)</f>
        <v>-2365</v>
      </c>
      <c r="H10" s="9">
        <f t="shared" ref="H10:M10" si="2">-(H9-G9)</f>
        <v>-809</v>
      </c>
      <c r="I10" s="9">
        <f t="shared" si="2"/>
        <v>-1420</v>
      </c>
      <c r="J10" s="9">
        <f t="shared" si="2"/>
        <v>776</v>
      </c>
      <c r="K10" s="9">
        <f t="shared" si="2"/>
        <v>-26.225099999999657</v>
      </c>
      <c r="L10" s="9">
        <f t="shared" si="2"/>
        <v>1147.0494749999962</v>
      </c>
      <c r="M10" s="9">
        <f t="shared" si="2"/>
        <v>1723.8691260000123</v>
      </c>
    </row>
    <row r="11" spans="2:23">
      <c r="B11" t="s">
        <v>250</v>
      </c>
      <c r="C11" s="2">
        <f>C9/(C9+C10)</f>
        <v>0.99117534211536007</v>
      </c>
      <c r="E11" t="s">
        <v>251</v>
      </c>
      <c r="F11" s="9"/>
      <c r="G11" s="9">
        <f>G6+G7+G8+G10</f>
        <v>4215.5400000000009</v>
      </c>
      <c r="H11" s="9">
        <f t="shared" ref="H11:M11" si="3">H6+H7+H8+H10</f>
        <v>1582.7950000000001</v>
      </c>
      <c r="I11" s="9">
        <f t="shared" si="3"/>
        <v>-1688.0450000000001</v>
      </c>
      <c r="J11" s="9">
        <f t="shared" si="3"/>
        <v>1641.4750000000004</v>
      </c>
      <c r="K11" s="9">
        <f t="shared" si="3"/>
        <v>1878.4982902500033</v>
      </c>
      <c r="L11" s="9">
        <f t="shared" si="3"/>
        <v>4606.5316932375044</v>
      </c>
      <c r="M11" s="9">
        <f t="shared" si="3"/>
        <v>6704.8420983390115</v>
      </c>
    </row>
    <row r="12" spans="2:23">
      <c r="B12" t="s">
        <v>252</v>
      </c>
      <c r="C12" s="2">
        <f>C10/(C10+C9)</f>
        <v>8.824657884639979E-3</v>
      </c>
    </row>
    <row r="13" spans="2:23">
      <c r="B13" t="s">
        <v>253</v>
      </c>
      <c r="C13" s="2">
        <f>C6*C11+C8*C12</f>
        <v>0.1240478884215252</v>
      </c>
      <c r="E13" t="s">
        <v>254</v>
      </c>
      <c r="F13">
        <f>1/(1+$C$13)^F2</f>
        <v>0.88964181179529378</v>
      </c>
      <c r="G13">
        <f t="shared" ref="G13:I13" si="4">1/(1+$C$13)^G2</f>
        <v>0.79146255329441306</v>
      </c>
      <c r="H13">
        <f t="shared" si="4"/>
        <v>0.70411817988097092</v>
      </c>
    </row>
    <row r="15" spans="2:23">
      <c r="B15" t="s">
        <v>255</v>
      </c>
      <c r="C15" s="2">
        <v>0.03</v>
      </c>
      <c r="E15" s="12"/>
      <c r="F15" s="12">
        <v>2026</v>
      </c>
      <c r="G15" s="12">
        <v>2027</v>
      </c>
      <c r="H15" s="12">
        <v>2028</v>
      </c>
      <c r="L15" t="s">
        <v>253</v>
      </c>
    </row>
    <row r="16" spans="2:23">
      <c r="E16" s="12" t="s">
        <v>256</v>
      </c>
      <c r="F16" s="12">
        <f>K11*F13</f>
        <v>1671.1906223923745</v>
      </c>
      <c r="G16" s="12">
        <f t="shared" ref="G16:H16" si="5">L11*G13</f>
        <v>3645.8973357613913</v>
      </c>
      <c r="H16" s="12">
        <f t="shared" si="5"/>
        <v>4721.0012146717745</v>
      </c>
      <c r="I16">
        <f>SUM(F16:H16)</f>
        <v>10038.089172825541</v>
      </c>
      <c r="L16" s="2">
        <v>0.09</v>
      </c>
      <c r="M16" s="2">
        <v>0.1</v>
      </c>
      <c r="N16" s="2">
        <v>0.11</v>
      </c>
      <c r="O16" s="2">
        <v>0.12</v>
      </c>
      <c r="P16" s="2">
        <v>0.13</v>
      </c>
      <c r="Q16" s="2">
        <v>0.14000000000000001</v>
      </c>
      <c r="R16" s="2">
        <v>0.15</v>
      </c>
    </row>
    <row r="17" spans="5:18">
      <c r="K17" s="2">
        <v>0.02</v>
      </c>
      <c r="L17" s="14">
        <f>(($K$11/(1+L$16)^1)
+($L$11/(1+L$16)^2)
+($M$11/(1+L$16)^3)
+($M$11*(1+$K17)/(L$16-$K17))/(1+L$16)^3
+'Balance Sheet'!$G$7
-'Balance Sheet'!$G$55
-'Balance Sheet'!$G$50)
/'Income Statement'!$G$37</f>
        <v>32.54865057734051</v>
      </c>
      <c r="M17" s="14">
        <f>(($K$11/(1+M$16)^1)
+($L$11/(1+M$16)^2)
+($M$11/(1+M$16)^3)
+($M$11*(1+$K17)/(M$16-$K17))/(1+M$16)^3
+'Balance Sheet'!$G$7
-'Balance Sheet'!$G$55
-'Balance Sheet'!$G$50)
/'Income Statement'!$G$37</f>
        <v>29.306030162888188</v>
      </c>
      <c r="N17" s="14">
        <f>(($K$11/(1+N$16)^1)
+($L$11/(1+N$16)^2)
+($M$11/(1+N$16)^3)
+($M$11*(1+$K17)/(N$16-$K17))/(1+N$16)^3
+'Balance Sheet'!$G$7
-'Balance Sheet'!$G$55
-'Balance Sheet'!$G$50)
/'Income Statement'!$G$37</f>
        <v>26.787855039382812</v>
      </c>
      <c r="O17" s="14">
        <f>(($K$11/(1+O$16)^1)
+($L$11/(1+O$16)^2)
+($M$11/(1+O$16)^3)
+($M$11*(1+$K17)/(O$16-$K17))/(1+O$16)^3
+'Balance Sheet'!$G$7
-'Balance Sheet'!$G$55
-'Balance Sheet'!$G$50)
/'Income Statement'!$G$37</f>
        <v>24.776678057344181</v>
      </c>
      <c r="P17" s="14">
        <f>(($K$11/(1+P$16)^1)
+($L$11/(1+P$16)^2)
+($M$11/(1+P$16)^3)
+($M$11*(1+$K17)/(P$16-$K17))/(1+P$16)^3
+'Balance Sheet'!$G$7
-'Balance Sheet'!$G$55
-'Balance Sheet'!$G$50)
/'Income Statement'!$G$37</f>
        <v>23.134128064310051</v>
      </c>
      <c r="Q17" s="14">
        <f>(($K$11/(1+Q$16)^1)
+($L$11/(1+Q$16)^2)
+($M$11/(1+Q$16)^3)
+($M$11*(1+$K17)/(Q$16-$K17))/(1+Q$16)^3
+'Balance Sheet'!$G$7
-'Balance Sheet'!$G$55
-'Balance Sheet'!$G$50)
/'Income Statement'!$G$37</f>
        <v>21.76796137363467</v>
      </c>
      <c r="R17" s="14">
        <f>(($K$11/(1+R$16)^1)
+($L$11/(1+R$16)^2)
+($M$11/(1+R$16)^3)
+($M$11*(1+$K17)/(R$16-$K17))/(1+R$16)^3
+'Balance Sheet'!$G$7
-'Balance Sheet'!$G$55
-'Balance Sheet'!$G$50)
/'Income Statement'!$G$37</f>
        <v>20.61432025851769</v>
      </c>
    </row>
    <row r="18" spans="5:18">
      <c r="E18" t="s">
        <v>257</v>
      </c>
      <c r="F18">
        <f>M11*(1+C15)/(C13-C15)</f>
        <v>73430.541367780199</v>
      </c>
      <c r="J18" t="s">
        <v>258</v>
      </c>
      <c r="K18" s="2">
        <v>2.5000000000000001E-2</v>
      </c>
      <c r="L18" s="14">
        <f>(($K$11/(1+L$16)^1)
+($L$11/(1+L$16)^2)
+($M$11/(1+L$16)^3)
+($M$11*(1+$K18)/(L$16-$K18))/(1+L$16)^3
+'Balance Sheet'!$G$7
-'Balance Sheet'!$G$55
-'Balance Sheet'!$G$50)
/'Income Statement'!$G$37</f>
        <v>34.306434912450314</v>
      </c>
      <c r="M18" s="14">
        <f>(($K$11/(1+M$16)^1)
+($L$11/(1+M$16)^2)
+($M$11/(1+M$16)^3)
+($M$11*(1+$K18)/(M$16-$K18))/(1+M$16)^3
+'Balance Sheet'!$G$7
-'Balance Sheet'!$G$55
-'Balance Sheet'!$G$50)
/'Income Statement'!$G$37</f>
        <v>30.614890663835155</v>
      </c>
      <c r="N18" s="14">
        <f>(($K$11/(1+N$16)^1)
+($L$11/(1+N$16)^2)
+($M$11/(1+N$16)^3)
+($M$11*(1+$K18)/(N$16-$K18))/(1+N$16)^3
+'Balance Sheet'!$G$7
-'Balance Sheet'!$G$55
-'Balance Sheet'!$G$50)
/'Income Statement'!$G$37</f>
        <v>27.79599908558853</v>
      </c>
      <c r="O18" s="14">
        <f>(($K$11/(1+O$16)^1)
+($L$11/(1+O$16)^2)
+($M$11/(1+O$16)^3)
+($M$11*(1+$K18)/(O$16-$K18))/(1+O$16)^3
+'Balance Sheet'!$G$7
-'Balance Sheet'!$G$55
-'Balance Sheet'!$G$50)
/'Income Statement'!$G$37</f>
        <v>25.57406722531503</v>
      </c>
      <c r="P18" s="14">
        <f>(($K$11/(1+P$16)^1)
+($L$11/(1+P$16)^2)
+($M$11/(1+P$16)^3)
+($M$11*(1+$K18)/(P$16-$K18))/(1+P$16)^3
+'Balance Sheet'!$G$7
-'Balance Sheet'!$G$55
-'Balance Sheet'!$G$50)
/'Income Statement'!$G$37</f>
        <v>23.778432485079843</v>
      </c>
      <c r="Q18" s="14">
        <f>(($K$11/(1+Q$16)^1)
+($L$11/(1+Q$16)^2)
+($M$11/(1+Q$16)^3)
+($M$11*(1+$K18)/(Q$16-$K18))/(1+Q$16)^3
+'Balance Sheet'!$G$7
-'Balance Sheet'!$G$55
-'Balance Sheet'!$G$50)
/'Income Statement'!$G$37</f>
        <v>22.297797044190773</v>
      </c>
      <c r="R18" s="14">
        <f>(($K$11/(1+R$16)^1)
+($L$11/(1+R$16)^2)
+($M$11/(1+R$16)^3)
+($M$11*(1+$K18)/(R$16-$K18))/(1+R$16)^3
+'Balance Sheet'!$G$7
-'Balance Sheet'!$G$55
-'Balance Sheet'!$G$50)
/'Income Statement'!$G$37</f>
        <v>21.056481770194292</v>
      </c>
    </row>
    <row r="19" spans="5:18">
      <c r="K19" s="2">
        <v>0.03</v>
      </c>
      <c r="L19" s="14">
        <f>(($K$11/(1+L$16)^1)
+($L$11/(1+L$16)^2)
+($M$11/(1+L$16)^3)
+($M$11*(1+$K19)/(L$16-$K19))/(1+L$16)^3
+'Balance Sheet'!$G$7
-'Balance Sheet'!$G$55
-'Balance Sheet'!$G$50)
/'Income Statement'!$G$37</f>
        <v>36.357183303411752</v>
      </c>
      <c r="M19" s="14">
        <f>(($K$11/(1+M$16)^1)
+($L$11/(1+M$16)^2)
+($M$11/(1+M$16)^3)
+($M$11*(1+$K19)/(M$16-$K19))/(1+M$16)^3
+'Balance Sheet'!$G$7
-'Balance Sheet'!$G$55
-'Balance Sheet'!$G$50)
/'Income Statement'!$G$37</f>
        <v>32.110731236345984</v>
      </c>
      <c r="N19" s="14">
        <f>(($K$11/(1+N$16)^1)
+($L$11/(1+N$16)^2)
+($M$11/(1+N$16)^3)
+($M$11*(1+$K19)/(N$16-$K19))/(1+N$16)^3
+'Balance Sheet'!$G$7
-'Balance Sheet'!$G$55
-'Balance Sheet'!$G$50)
/'Income Statement'!$G$37</f>
        <v>28.930161137569964</v>
      </c>
      <c r="O19" s="14">
        <f>(($K$11/(1+O$16)^1)
+($L$11/(1+O$16)^2)
+($M$11/(1+O$16)^3)
+($M$11*(1+$K19)/(O$16-$K19))/(1+O$16)^3
+'Balance Sheet'!$G$7
-'Balance Sheet'!$G$55
-'Balance Sheet'!$G$50)
/'Income Statement'!$G$37</f>
        <v>26.460055189727086</v>
      </c>
      <c r="P19" s="14">
        <f>(($K$11/(1+P$16)^1)
+($L$11/(1+P$16)^2)
+($M$11/(1+P$16)^3)
+($M$11*(1+$K19)/(P$16-$K19))/(1+P$16)^3
+'Balance Sheet'!$G$7
-'Balance Sheet'!$G$55
-'Balance Sheet'!$G$50)
/'Income Statement'!$G$37</f>
        <v>24.487167347926622</v>
      </c>
      <c r="Q19" s="14">
        <f>(($K$11/(1+Q$16)^1)
+($L$11/(1+Q$16)^2)
+($M$11/(1+Q$16)^3)
+($M$11*(1+$K19)/(Q$16-$K19))/(1+Q$16)^3
+'Balance Sheet'!$G$7
-'Balance Sheet'!$G$55
-'Balance Sheet'!$G$50)
/'Income Statement'!$G$37</f>
        <v>22.875799593888338</v>
      </c>
      <c r="R19" s="14">
        <f>(($K$11/(1+R$16)^1)
+($L$11/(1+R$16)^2)
+($M$11/(1+R$16)^3)
+($M$11*(1+$K19)/(R$16-$K19))/(1+R$16)^3
+'Balance Sheet'!$G$7
-'Balance Sheet'!$G$55
-'Balance Sheet'!$G$50)
/'Income Statement'!$G$37</f>
        <v>21.535490074510616</v>
      </c>
    </row>
    <row r="20" spans="5:18">
      <c r="E20" t="s">
        <v>259</v>
      </c>
      <c r="F20">
        <f>F18*H13</f>
        <v>51703.779135555735</v>
      </c>
      <c r="K20" s="2">
        <v>3.5000000000000003E-2</v>
      </c>
      <c r="L20" s="14">
        <f>(($K$11/(1+L$16)^1)
+($L$11/(1+L$16)^2)
+($M$11/(1+L$16)^3)
+($M$11*(1+$K20)/(L$16-$K20))/(1+L$16)^3
+'Balance Sheet'!$G$7
-'Balance Sheet'!$G$55
-'Balance Sheet'!$G$50)
/'Income Statement'!$G$37</f>
        <v>38.780795038184358</v>
      </c>
      <c r="M20" s="14">
        <f>(($K$11/(1+M$16)^1)
+($L$11/(1+M$16)^2)
+($M$11/(1+M$16)^3)
+($M$11*(1+$K20)/(M$16-$K20))/(1+M$16)^3
+'Balance Sheet'!$G$7
-'Balance Sheet'!$G$55
-'Balance Sheet'!$G$50)
/'Income Statement'!$G$37</f>
        <v>33.836701127704629</v>
      </c>
      <c r="N20" s="14">
        <f>(($K$11/(1+N$16)^1)
+($L$11/(1+N$16)^2)
+($M$11/(1+N$16)^3)
+($M$11*(1+$K20)/(N$16-$K20))/(1+N$16)^3
+'Balance Sheet'!$G$7
-'Balance Sheet'!$G$55
-'Balance Sheet'!$G$50)
/'Income Statement'!$G$37</f>
        <v>30.215544796482256</v>
      </c>
      <c r="O20" s="14">
        <f>(($K$11/(1+O$16)^1)
+($L$11/(1+O$16)^2)
+($M$11/(1+O$16)^3)
+($M$11*(1+$K20)/(O$16-$K20))/(1+O$16)^3
+'Balance Sheet'!$G$7
-'Balance Sheet'!$G$55
-'Balance Sheet'!$G$50)
/'Income Statement'!$G$37</f>
        <v>27.450277032305262</v>
      </c>
      <c r="P20" s="14">
        <f>(($K$11/(1+P$16)^1)
+($L$11/(1+P$16)^2)
+($M$11/(1+P$16)^3)
+($M$11*(1+$K20)/(P$16-$K20))/(1+P$16)^3
+'Balance Sheet'!$G$7
-'Balance Sheet'!$G$55
-'Balance Sheet'!$G$50)
/'Income Statement'!$G$37</f>
        <v>25.270505880546743</v>
      </c>
      <c r="Q20" s="14">
        <f>(($K$11/(1+Q$16)^1)
+($L$11/(1+Q$16)^2)
+($M$11/(1+Q$16)^3)
+($M$11*(1+$K20)/(Q$16-$K20))/(1+Q$16)^3
+'Balance Sheet'!$G$7
-'Balance Sheet'!$G$55
-'Balance Sheet'!$G$50)
/'Income Statement'!$G$37</f>
        <v>23.508850005461866</v>
      </c>
      <c r="R20" s="14">
        <f>(($K$11/(1+R$16)^1)
+($L$11/(1+R$16)^2)
+($M$11/(1+R$16)^3)
+($M$11*(1+$K20)/(R$16-$K20))/(1+R$16)^3
+'Balance Sheet'!$G$7
-'Balance Sheet'!$G$55
-'Balance Sheet'!$G$50)
/'Income Statement'!$G$37</f>
        <v>22.056151274854439</v>
      </c>
    </row>
    <row r="21" spans="5:18">
      <c r="K21" s="2">
        <v>0.04</v>
      </c>
      <c r="L21" s="14">
        <f>(($K$11/(1+L$16)^1)
+($L$11/(1+L$16)^2)
+($M$11/(1+L$16)^3)
+($M$11*(1+$K21)/(L$16-$K21))/(1+L$16)^3
+'Balance Sheet'!$G$7
-'Balance Sheet'!$G$55
-'Balance Sheet'!$G$50)
/'Income Statement'!$G$37</f>
        <v>41.689129119911499</v>
      </c>
      <c r="M21" s="14">
        <f>(($K$11/(1+M$16)^1)
+($L$11/(1+M$16)^2)
+($M$11/(1+M$16)^3)
+($M$11*(1+$K21)/(M$16-$K21))/(1+M$16)^3
+'Balance Sheet'!$G$7
-'Balance Sheet'!$G$55
-'Balance Sheet'!$G$50)
/'Income Statement'!$G$37</f>
        <v>35.85033266762305</v>
      </c>
      <c r="N21" s="14">
        <f>(($K$11/(1+N$16)^1)
+($L$11/(1+N$16)^2)
+($M$11/(1+N$16)^3)
+($M$11*(1+$K21)/(N$16-$K21))/(1+N$16)^3
+'Balance Sheet'!$G$7
-'Balance Sheet'!$G$55
-'Balance Sheet'!$G$50)
/'Income Statement'!$G$37</f>
        <v>31.684554692382015</v>
      </c>
      <c r="O21" s="14">
        <f>(($K$11/(1+O$16)^1)
+($L$11/(1+O$16)^2)
+($M$11/(1+O$16)^3)
+($M$11*(1+$K21)/(O$16-$K21))/(1+O$16)^3
+'Balance Sheet'!$G$7
-'Balance Sheet'!$G$55
-'Balance Sheet'!$G$50)
/'Income Statement'!$G$37</f>
        <v>28.564276605205716</v>
      </c>
      <c r="P21" s="14">
        <f>(($K$11/(1+P$16)^1)
+($L$11/(1+P$16)^2)
+($M$11/(1+P$16)^3)
+($M$11*(1+$K21)/(P$16-$K21))/(1+P$16)^3
+'Balance Sheet'!$G$7
-'Balance Sheet'!$G$55
-'Balance Sheet'!$G$50)
/'Income Statement'!$G$37</f>
        <v>26.140882027902435</v>
      </c>
      <c r="Q21" s="14">
        <f>(($K$11/(1+Q$16)^1)
+($L$11/(1+Q$16)^2)
+($M$11/(1+Q$16)^3)
+($M$11*(1+$K21)/(Q$16-$K21))/(1+Q$16)^3
+'Balance Sheet'!$G$7
-'Balance Sheet'!$G$55
-'Balance Sheet'!$G$50)
/'Income Statement'!$G$37</f>
        <v>24.205205458192744</v>
      </c>
      <c r="R21" s="14">
        <f>(($K$11/(1+R$16)^1)
+($L$11/(1+R$16)^2)
+($M$11/(1+R$16)^3)
+($M$11*(1+$K21)/(R$16-$K21))/(1+R$16)^3
+'Balance Sheet'!$G$7
-'Balance Sheet'!$G$55
-'Balance Sheet'!$G$50)
/'Income Statement'!$G$37</f>
        <v>22.624145311593164</v>
      </c>
    </row>
    <row r="22" spans="5:18">
      <c r="E22" t="s">
        <v>260</v>
      </c>
      <c r="F22">
        <f>F20+I16</f>
        <v>61741.868308381279</v>
      </c>
    </row>
    <row r="24" spans="5:18">
      <c r="E24" t="s">
        <v>261</v>
      </c>
      <c r="F24">
        <f>F22+'Balance Sheet'!G7-'Balance Sheet'!G55-'Balance Sheet'!G50</f>
        <v>90353.868308381279</v>
      </c>
    </row>
    <row r="25" spans="5:18">
      <c r="E25" t="s">
        <v>262</v>
      </c>
      <c r="F25">
        <f>'Income Statement'!G37</f>
        <v>3528</v>
      </c>
    </row>
    <row r="26" spans="5:18">
      <c r="E26" t="s">
        <v>263</v>
      </c>
      <c r="F26" s="13">
        <f>F24/F25</f>
        <v>25.610506890130747</v>
      </c>
    </row>
  </sheetData>
  <conditionalFormatting sqref="L17:R21">
    <cfRule type="cellIs" dxfId="2" priority="3" operator="lessThan">
      <formula>50</formula>
    </cfRule>
  </conditionalFormatting>
  <conditionalFormatting sqref="L17:R21">
    <cfRule type="cellIs" dxfId="1" priority="2" operator="between">
      <formula>50</formula>
      <formula>405</formula>
    </cfRule>
  </conditionalFormatting>
  <conditionalFormatting sqref="L17:R21">
    <cfRule type="cellIs" dxfId="0" priority="1" operator="greaterThan">
      <formula>405</formula>
    </cfRule>
  </conditionalFormatting>
  <dataValidations count="1">
    <dataValidation type="list" allowBlank="1" showInputMessage="1" showErrorMessage="1" sqref="U2" xr:uid="{7E494342-6946-4446-BF1A-EFB6FC37581F}">
      <formula1>"Bear, Base, Bull"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7EEE-8C56-4A61-9227-663C78C5328C}">
  <dimension ref="B3:J6"/>
  <sheetViews>
    <sheetView tabSelected="1" workbookViewId="0">
      <selection activeCell="J11" sqref="J11"/>
    </sheetView>
  </sheetViews>
  <sheetFormatPr defaultRowHeight="15"/>
  <sheetData>
    <row r="3" spans="2:10">
      <c r="C3">
        <v>2021</v>
      </c>
      <c r="D3">
        <v>2022</v>
      </c>
      <c r="E3">
        <v>2023</v>
      </c>
      <c r="F3">
        <v>2024</v>
      </c>
      <c r="G3">
        <v>2025</v>
      </c>
      <c r="H3" t="s">
        <v>94</v>
      </c>
      <c r="I3" t="s">
        <v>3</v>
      </c>
      <c r="J3" t="s">
        <v>95</v>
      </c>
    </row>
    <row r="4" spans="2:10">
      <c r="B4" s="1"/>
    </row>
    <row r="5" spans="2:10">
      <c r="B5" t="s">
        <v>97</v>
      </c>
      <c r="C5">
        <v>53823</v>
      </c>
      <c r="D5">
        <v>81462</v>
      </c>
      <c r="E5">
        <v>96773</v>
      </c>
      <c r="F5">
        <v>97690</v>
      </c>
      <c r="G5">
        <v>94827</v>
      </c>
      <c r="H5" s="9">
        <f>G5*(1+Assumptions!C4)</f>
        <v>90085.65</v>
      </c>
      <c r="I5" s="9">
        <f>H5*(1+Assumptions!D4)</f>
        <v>94589.932499999995</v>
      </c>
      <c r="J5" s="9">
        <f>I5*(1+Assumptions!E4)</f>
        <v>102157.1271</v>
      </c>
    </row>
    <row r="6" spans="2:10">
      <c r="B6" t="s">
        <v>128</v>
      </c>
      <c r="C6">
        <f>'Income Statement'!C49</f>
        <v>9434</v>
      </c>
      <c r="D6">
        <f>'Income Statement'!D49</f>
        <v>17235</v>
      </c>
      <c r="E6">
        <f>'Income Statement'!E49</f>
        <v>13558</v>
      </c>
      <c r="F6">
        <f>'Income Statement'!F49</f>
        <v>13027</v>
      </c>
      <c r="G6">
        <f>'Income Statement'!G49</f>
        <v>10503</v>
      </c>
      <c r="H6">
        <f>'Income Statement'!H49</f>
        <v>11229.939450000002</v>
      </c>
      <c r="I6">
        <f>'Income Statement'!I49</f>
        <v>13115.695477500012</v>
      </c>
      <c r="J6">
        <f>'Income Statement'!J49</f>
        <v>15493.962922199999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2026-02-23T10:53:49Z</dcterms:created>
  <dcterms:modified xsi:type="dcterms:W3CDTF">2026-02-26T12:37:53Z</dcterms:modified>
  <cp:category/>
  <cp:contentStatus/>
</cp:coreProperties>
</file>